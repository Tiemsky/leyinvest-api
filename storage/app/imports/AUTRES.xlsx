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Apps\leyinvest-api\storage\app\imports\"/>
    </mc:Choice>
  </mc:AlternateContent>
  <bookViews>
    <workbookView xWindow="0" yWindow="0" windowWidth="9610" windowHeight="4100" activeTab="3"/>
  </bookViews>
  <sheets>
    <sheet name="SOLIBRA" sheetId="1" r:id="rId1"/>
    <sheet name="BERNABE CI" sheetId="2" r:id="rId2"/>
    <sheet name="NESTLE CI" sheetId="3" r:id="rId3"/>
    <sheet name="SMB" sheetId="4" r:id="rId4"/>
    <sheet name="SITAB" sheetId="5" r:id="rId5"/>
    <sheet name="UNIWAX CI" sheetId="6" r:id="rId6"/>
    <sheet name="FILTISAC" sheetId="7" r:id="rId7"/>
    <sheet name="Total CI" sheetId="8" r:id="rId8"/>
    <sheet name="TOTAL SN" sheetId="9" r:id="rId9"/>
    <sheet name="VIVO ENERGY" sheetId="10" r:id="rId10"/>
    <sheet name="SONATEL SN" sheetId="11" r:id="rId11"/>
    <sheet name="ORANGE CI" sheetId="12" r:id="rId12"/>
    <sheet name="ONATEL BF" sheetId="13" r:id="rId13"/>
    <sheet name="SODE CI" sheetId="14" r:id="rId14"/>
    <sheet name="CIE CI" sheetId="15" r:id="rId15"/>
    <sheet name="CFAO MOTORS CI" sheetId="16" r:id="rId16"/>
    <sheet name="SERVAIR CI" sheetId="17" r:id="rId17"/>
    <sheet name="TRACTAFRIC CI" sheetId="18" r:id="rId18"/>
    <sheet name="AGL" sheetId="19" r:id="rId19"/>
    <sheet name="Air Liquide" sheetId="20" r:id="rId20"/>
    <sheet name="EVIOSYS" sheetId="21" r:id="rId21"/>
    <sheet name="NEI CEDA" sheetId="22" r:id="rId22"/>
    <sheet name="LNB" sheetId="23" r:id="rId23"/>
    <sheet name="PALM CI" sheetId="24" r:id="rId24"/>
    <sheet name="SAPH" sheetId="25" r:id="rId25"/>
    <sheet name="SETAO" sheetId="26" r:id="rId26"/>
    <sheet name="SICABLE" sheetId="27" r:id="rId27"/>
    <sheet name="SICOR" sheetId="28" r:id="rId28"/>
    <sheet name="SOGB" sheetId="29" r:id="rId29"/>
    <sheet name="SUCRIVOIRE" sheetId="30" r:id="rId30"/>
    <sheet name="UNILEVER" sheetId="31" r:id="rId31"/>
  </sheets>
  <calcPr calcId="162913"/>
  <extLst>
    <ext uri="GoogleSheetsCustomDataVersion2">
      <go:sheetsCustomData xmlns:go="http://customooxmlschemas.google.com/" r:id="rId35" roundtripDataChecksum="LqXnds1Un68a3aRdAs21jCOFO9p1yzy4FfwwdNHPJZs="/>
    </ext>
  </extLst>
</workbook>
</file>

<file path=xl/calcChain.xml><?xml version="1.0" encoding="utf-8"?>
<calcChain xmlns="http://schemas.openxmlformats.org/spreadsheetml/2006/main">
  <c r="B18" i="31" l="1"/>
  <c r="D18" i="31"/>
  <c r="E18" i="30" l="1"/>
  <c r="D18" i="30"/>
  <c r="C18" i="30"/>
  <c r="B18" i="30"/>
  <c r="E19" i="29"/>
  <c r="D19" i="29"/>
  <c r="C19" i="29"/>
  <c r="B19" i="29"/>
  <c r="E18" i="29"/>
  <c r="D18" i="29"/>
  <c r="C18" i="29"/>
  <c r="B18" i="29"/>
  <c r="E19" i="27"/>
  <c r="D19" i="27"/>
  <c r="C19" i="27"/>
  <c r="B19" i="27"/>
  <c r="E18" i="27"/>
  <c r="D18" i="27"/>
  <c r="C18" i="27"/>
  <c r="B18" i="27"/>
  <c r="B19" i="26"/>
  <c r="B18" i="26"/>
  <c r="E19" i="25"/>
  <c r="D19" i="25"/>
  <c r="C19" i="25"/>
  <c r="B19" i="25"/>
  <c r="E18" i="25"/>
  <c r="D18" i="25"/>
  <c r="C18" i="25"/>
  <c r="B18" i="25"/>
  <c r="E19" i="24"/>
  <c r="D19" i="24"/>
  <c r="C19" i="24"/>
  <c r="B19" i="24"/>
  <c r="E18" i="24"/>
  <c r="D18" i="24"/>
  <c r="C18" i="24"/>
  <c r="B18" i="24"/>
  <c r="D23" i="23"/>
  <c r="D19" i="22"/>
  <c r="C19" i="22"/>
  <c r="D18" i="22"/>
  <c r="C18" i="22"/>
  <c r="B18" i="22"/>
  <c r="D18" i="21"/>
  <c r="C18" i="21"/>
  <c r="B18" i="21"/>
  <c r="B28" i="19"/>
  <c r="D23" i="11"/>
  <c r="E23" i="7"/>
  <c r="E38" i="6"/>
  <c r="E7" i="6"/>
  <c r="C38" i="5"/>
  <c r="C37" i="3"/>
  <c r="B19" i="3"/>
  <c r="D19" i="1"/>
  <c r="B19" i="1"/>
  <c r="E18" i="1"/>
  <c r="D18" i="1"/>
  <c r="C18" i="1"/>
  <c r="B18" i="1"/>
</calcChain>
</file>

<file path=xl/sharedStrings.xml><?xml version="1.0" encoding="utf-8"?>
<sst xmlns="http://schemas.openxmlformats.org/spreadsheetml/2006/main" count="1578" uniqueCount="342">
  <si>
    <t>SOLIBRA produit et distribue de la bière, des boissons alcoolisées et non alcoolisées en Côte d'Ivoire.
En 2017, l'entreprise a procédé à la fusion-absorption de « Les Brasseries Ivoiriennes ».</t>
  </si>
  <si>
    <t xml:space="preserve">Nombre de titres : </t>
  </si>
  <si>
    <t>16460840</t>
  </si>
  <si>
    <t>16460841</t>
  </si>
  <si>
    <t>16460842</t>
  </si>
  <si>
    <t>164608430</t>
  </si>
  <si>
    <t>Indicateurs</t>
  </si>
  <si>
    <t>2021</t>
  </si>
  <si>
    <t>2022</t>
  </si>
  <si>
    <t>2023</t>
  </si>
  <si>
    <t>2024</t>
  </si>
  <si>
    <t>Total Immobilisation</t>
  </si>
  <si>
    <t>Actif Circulant</t>
  </si>
  <si>
    <t>Total Actif</t>
  </si>
  <si>
    <t>Capitaux propres</t>
  </si>
  <si>
    <t>Passif Circulant</t>
  </si>
  <si>
    <t>Chiffre d’Affaires</t>
  </si>
  <si>
    <t>Valeur Ajoutée</t>
  </si>
  <si>
    <t>Résultat avant Impôt</t>
  </si>
  <si>
    <t>EBIT</t>
  </si>
  <si>
    <t>EBITDA (RBE ou EBE)</t>
  </si>
  <si>
    <t>Résultat Net (RN)</t>
  </si>
  <si>
    <t>PER</t>
  </si>
  <si>
    <t>DNPA</t>
  </si>
  <si>
    <t>Dette totale</t>
  </si>
  <si>
    <t>Cours au 31/12</t>
  </si>
  <si>
    <t>CAPEX</t>
  </si>
  <si>
    <t>Dividendes bruts</t>
  </si>
  <si>
    <t>Actionnaires</t>
  </si>
  <si>
    <t>Pourcentage</t>
  </si>
  <si>
    <t>BGI</t>
  </si>
  <si>
    <t>PUBLIC (BRVM)</t>
  </si>
  <si>
    <t>DIVERS ACTIONNAIRES PRIVES (BOURSE)</t>
  </si>
  <si>
    <t>Fonction</t>
  </si>
  <si>
    <t>PCA</t>
  </si>
  <si>
    <t>DG</t>
  </si>
  <si>
    <t>DAF</t>
  </si>
  <si>
    <t>Directeur Marketing/commercial</t>
  </si>
  <si>
    <t xml:space="preserve">M. SAYEGH Hussein
</t>
  </si>
  <si>
    <t xml:space="preserve">M. Marc POZMENTIER
</t>
  </si>
  <si>
    <t>M. Olivier LEBRUN</t>
  </si>
  <si>
    <t>M. Julien ZAYRO</t>
  </si>
  <si>
    <t>Valeur T1</t>
  </si>
  <si>
    <t>Évol. T1</t>
  </si>
  <si>
    <t>Valeur T2</t>
  </si>
  <si>
    <t>Évol. T2</t>
  </si>
  <si>
    <t>Valeur T3</t>
  </si>
  <si>
    <t>Évol. T3</t>
  </si>
  <si>
    <t>Chiffre d’affaires</t>
  </si>
  <si>
    <t>–</t>
  </si>
  <si>
    <t>147 598,272</t>
  </si>
  <si>
    <t>Résultat Net</t>
  </si>
  <si>
    <t>10 162,816</t>
  </si>
  <si>
    <t>Fondée en 1951, BERNABE excelle dans la commercialisation et la distribution de quincaillerie, d’équipements industriels, de produits métallurgiques et de matériaux de construction.
BERNABE CI propose ses produits via un réseau de distribution de 3 agences en Côte d'Ivoire.</t>
  </si>
  <si>
    <t>6624000</t>
  </si>
  <si>
    <t>6624001</t>
  </si>
  <si>
    <t>6624002</t>
  </si>
  <si>
    <t>6624003</t>
  </si>
  <si>
    <t>YESHI GROUP LTD</t>
  </si>
  <si>
    <t>DIVERS ACTIONNAIRES PRIVÉS (BOURSE)</t>
  </si>
  <si>
    <t>Mr Beydoun ABDUL HUSSEIN</t>
  </si>
  <si>
    <t>Mr. Ahmad CHARAF EDDINE</t>
  </si>
  <si>
    <t>Carmeille Didier</t>
  </si>
  <si>
    <t>Wassim CHAABI</t>
  </si>
  <si>
    <t>Nestlé Côte d’Ivoire est le leader dans la fabrication de produits de café, de thé, la production de soupes déshydratées, les assaisonnements et la distribution de produits laitiers pour enfants. La société dispose de deux grandes usines et d’un centre de recherche &amp; développement à Abidjan.</t>
  </si>
  <si>
    <t>-</t>
  </si>
  <si>
    <t>NESTLE SA</t>
  </si>
  <si>
    <t>ENTREPRISE MAGGI SA</t>
  </si>
  <si>
    <t>M.Mohamed Itani</t>
  </si>
  <si>
    <t>Mohamed Itani</t>
  </si>
  <si>
    <t>M.</t>
  </si>
  <si>
    <t>Mme.ROSINE KOUASSI</t>
  </si>
  <si>
    <t>Créée en 1976, SMB la compagnie multinationale de bitume a pour mission le désenclavement des régions éloignées des pôles de développement. La société assure l’approvisionnement national en produits bitumineux. Elle participe à la construction et la maintenance d’une partie importante du réseau routier de l’Afrique de l’Ouest.</t>
  </si>
  <si>
    <t>7795200</t>
  </si>
  <si>
    <t>7795201</t>
  </si>
  <si>
    <t>7795202</t>
  </si>
  <si>
    <t>7795203</t>
  </si>
  <si>
    <t>SIR</t>
  </si>
  <si>
    <t>72,60%</t>
  </si>
  <si>
    <t>27,40%</t>
  </si>
  <si>
    <t xml:space="preserve">Fonction </t>
  </si>
  <si>
    <t xml:space="preserve">M. Sindou CISSE.
</t>
  </si>
  <si>
    <t xml:space="preserve">Mme. Marie Joséphine SIDIBE
</t>
  </si>
  <si>
    <t>M. Serge Eric N’GUESSAN</t>
  </si>
  <si>
    <t>Mme.Angèle KABRAN</t>
  </si>
  <si>
    <t>Produit Net Bancaire</t>
  </si>
  <si>
    <t>54 777,464</t>
  </si>
  <si>
    <t>2 714,815</t>
  </si>
  <si>
    <t>Créée en 1965, la Société ivoirienne de tabacs, filiale du britannique Imperial Brands est le leader du secteur Tabac en côte d’ivoire. En 2014, la SITAB a restructuré son système organisationnel à travers la cession de ses actifs industriels à sa filiale SITAB industrie (Ex-Filtab) et devient une société commerciale.</t>
  </si>
  <si>
    <t>17955000</t>
  </si>
  <si>
    <t>17955001</t>
  </si>
  <si>
    <t>17955002</t>
  </si>
  <si>
    <t>17955003</t>
  </si>
  <si>
    <t>CORALMA</t>
  </si>
  <si>
    <t>IPAFI</t>
  </si>
  <si>
    <t>FOREIGN INVEST</t>
  </si>
  <si>
    <t xml:space="preserve">M.
</t>
  </si>
  <si>
    <t xml:space="preserve">M.Éric Thiam Sabates
</t>
  </si>
  <si>
    <t xml:space="preserve">M. </t>
  </si>
  <si>
    <t>Crée en 1968, UNIWAX fait partie de Vlisco Helmond BV aux côtés de deux autres filiales : GTP et WOODIN au Ghana. Le groupe précédemment détenu par GAMMA holding, a été racheté par ACTIS, un fond d’investissement axé sur les marchés émergents en septembre 2010.</t>
  </si>
  <si>
    <t>Nombre de titres</t>
  </si>
  <si>
    <t>20750000</t>
  </si>
  <si>
    <t>20750001</t>
  </si>
  <si>
    <t>20750002</t>
  </si>
  <si>
    <t>20750003</t>
  </si>
  <si>
    <t>FRAGECI</t>
  </si>
  <si>
    <t>CFCI</t>
  </si>
  <si>
    <t>VLISCO BV</t>
  </si>
  <si>
    <t xml:space="preserve">M.Jean-louis Menudier
</t>
  </si>
  <si>
    <t xml:space="preserve">M.Ersin Güney
</t>
  </si>
  <si>
    <t xml:space="preserve"> Mme. Sandra Manouan</t>
  </si>
  <si>
    <t>7 844,498</t>
  </si>
  <si>
    <t>22 473,814</t>
  </si>
  <si>
    <t>8 205,766</t>
  </si>
  <si>
    <t>8 142,912</t>
  </si>
  <si>
    <t>Fondée en 1965, Filtisac CI est le principal fabricant d’emballages en Côte d’Ivoire, filiale du groupe SIFCA. Historiquement dédiée aux sacs en jute, l’entreprise s’est diversifiée vers les emballages synthétiques et industriels, servant l’agriculture, l’agro-industrie et les mines à l’échelle de l’Afrique de l’Ouest.</t>
  </si>
  <si>
    <t>14103740</t>
  </si>
  <si>
    <t>14103741</t>
  </si>
  <si>
    <t>14103742</t>
  </si>
  <si>
    <t>14103743</t>
  </si>
  <si>
    <t>AKFED</t>
  </si>
  <si>
    <t>IPS-WA</t>
  </si>
  <si>
    <t>IAD</t>
  </si>
  <si>
    <t>AKA INVEST TRUST</t>
  </si>
  <si>
    <t>M.SYLLA MAHAMADOU</t>
  </si>
  <si>
    <t>M. Yaya Ouattara</t>
  </si>
  <si>
    <t>Total Energies Marketing CI fait partie du groupe TOTAL. La société existe en Côte d'Ivoire depuis 1947. Elle dispose de 187 stations réparties sur l'ensemble du pays. L'activité principale consiste à commercialiser et distribuer les produits suivants : Essence Premium, Diesel, Kérosène.</t>
  </si>
  <si>
    <t>62961600</t>
  </si>
  <si>
    <t>62961601</t>
  </si>
  <si>
    <t>62961602</t>
  </si>
  <si>
    <t>62961603</t>
  </si>
  <si>
    <t>TOTAL OUTRE MER</t>
  </si>
  <si>
    <t>TOTAL AFRICA LTD</t>
  </si>
  <si>
    <t xml:space="preserve">M.Philippe EBANGA
</t>
  </si>
  <si>
    <t xml:space="preserve">M.Matthieu BOUVY
</t>
  </si>
  <si>
    <t xml:space="preserve"> Mme. Bernadette Kassé</t>
  </si>
  <si>
    <t>Fondée en 1947, Total Energies Marketing Senegal (Total SN) est le leader dans la distribution de produits pétroliers sur le marché sénégalais. La société distribue des carburants via un réseau de 171 stations-service, elle commercialise également du GPL, des lubrifiants et des carburants aviation.</t>
  </si>
  <si>
    <t>TOTAL OUTREMER</t>
  </si>
  <si>
    <t xml:space="preserve">
</t>
  </si>
  <si>
    <t>M.Badara Mbacké</t>
  </si>
  <si>
    <t xml:space="preserve"> M.</t>
  </si>
  <si>
    <t>SHELL PETROL</t>
  </si>
  <si>
    <t>PETROCI HOLDING</t>
  </si>
  <si>
    <t>M. Kader Maïga</t>
  </si>
  <si>
    <t>M.Arnaud Kebe</t>
  </si>
  <si>
    <t>M.NOBOU Jean-Paul</t>
  </si>
  <si>
    <t>Chiffre d'affaires</t>
  </si>
  <si>
    <t>SONATEL a été créée en 1985 suite à la fusion du bureau des télécommunications et de la télévision sénégalaise. Elle est devenue une société privée en 1997 lorsque France Télécom a pris une participation de 42,33 %. Le groupe propose des services de télécommunications (fixe, mobile, internet).</t>
  </si>
  <si>
    <t>France Telecom</t>
  </si>
  <si>
    <t>Etat du Senegal</t>
  </si>
  <si>
    <t>Public(BRVM)</t>
  </si>
  <si>
    <t>Employés Sonatel</t>
  </si>
  <si>
    <t xml:space="preserve">M.Alioune NDIAYE
</t>
  </si>
  <si>
    <t xml:space="preserve">M.Brelotte BA
</t>
  </si>
  <si>
    <t>Mme.Bineta Dior BEYE NDIAYE</t>
  </si>
  <si>
    <t>Filiale du groupe Orange, Orange CI est une entreprise de télécommunications intégrée qui propose des solutions dans les domaines du fixe, du mobile, d'Internet, du paiement mobile et des services de données aux particuliers et aux entreprises.</t>
  </si>
  <si>
    <t>ATLAS COUNTRIES SUPPORT SA</t>
  </si>
  <si>
    <t>FRANCE CÂBLES ET RADIO CÔTE D'IVOIRE</t>
  </si>
  <si>
    <t>SIFCOM SA</t>
  </si>
  <si>
    <t>BRVM (DIVERS PORTEURS)</t>
  </si>
  <si>
    <t>ÉTAT DE CÔTE D'IVOIRE</t>
  </si>
  <si>
    <t>SALARIÉS ET EX-SALARIÉS</t>
  </si>
  <si>
    <t>M.Mamadou Bamba</t>
  </si>
  <si>
    <t>M.Aminata FOFANA KANTÉ</t>
  </si>
  <si>
    <t>M. Raoul Yobouet</t>
  </si>
  <si>
    <t>Premier opérateur de télécommunications mobiles au Burkina Faso, Onatel dispose du réseau le plus étendu en termes de couverture et du plus grand réseau de distribution. Onatel compte 7 millions d'abonnés (mobile et fixe).</t>
  </si>
  <si>
    <t>Dividendes Bruts</t>
  </si>
  <si>
    <t>MAROC TELECOM</t>
  </si>
  <si>
    <t>ETAT DU BURKINA FASO</t>
  </si>
  <si>
    <t>M.Ragnang-Newindé Isidore TIEMTORE</t>
  </si>
  <si>
    <t>M.Mohamed Karim</t>
  </si>
  <si>
    <t>M.YOUNESS Zeroual</t>
  </si>
  <si>
    <t>La Société de Distribution d'Eau de Côte d'Ivoire a été créée en 1959 en tant que successeur et filiale de la société française « Saur ». Depuis 1987, elle est seule responsable de la production et de la distribution d'eau potable dans les zones urbaines de Côte d'Ivoire.</t>
  </si>
  <si>
    <t>ERANOVE</t>
  </si>
  <si>
    <t>DIVERS IVOIRIENS</t>
  </si>
  <si>
    <t>FCP - SODECI</t>
  </si>
  <si>
    <t>SIDIP</t>
  </si>
  <si>
    <t>M. EBAH Basile</t>
  </si>
  <si>
    <t>M.Ahmadou Bakayoko</t>
  </si>
  <si>
    <t>M.ABA DAVID PACOME</t>
  </si>
  <si>
    <t>Mme.Falima Koffi</t>
  </si>
  <si>
    <t>Créée le 24 août 1990 par le groupe français Bouygues et la société d'électricité EDF, la CIE est une entreprise privée ivoirienne à monopole d'État qui détient une concession de service public pour la production, le transport, l'exportation, la distribution et la commercialisation de l'électricité.</t>
  </si>
  <si>
    <t>IPS-CNPS</t>
  </si>
  <si>
    <t>FCP - CIE</t>
  </si>
  <si>
    <t>MAISON DES ACTIONNAIRES</t>
  </si>
  <si>
    <t>M. Dominique Kakou</t>
  </si>
  <si>
    <t>M.Jean-Christian Turkson</t>
  </si>
  <si>
    <t xml:space="preserve"> </t>
  </si>
  <si>
    <t>MARIUS DOH</t>
  </si>
  <si>
    <t>Présente en Côte d'Ivoire depuis 1973, CFAO MOTORS est la filiale du groupe CFAO. Elle est le distributeur exclusif de huit marques de renommée mondiale : Citroën, Peugeot, Toyota, Mitsubishi, Yamaha, Suzuki, JCB et Bridgestone.</t>
  </si>
  <si>
    <t>CFAO</t>
  </si>
  <si>
    <t>95,88%</t>
  </si>
  <si>
    <t>4,12%</t>
  </si>
  <si>
    <t>Edouard Rochet</t>
  </si>
  <si>
    <t>M.Edouard ROCHET</t>
  </si>
  <si>
    <t>NDA constant</t>
  </si>
  <si>
    <t>Créée en 1968, SERVAIR ABIDJAN est une société spécialisée dans le ravitaillement en vol, la restauration et le nettoyage des avions desservant l'aéroport d'Abidjan. Depuis 2012, SERVAIR Abidjan développe également des activités hors transport aérien : restauration collective, traiteur événementiel (grain de sel) et services de restauration et d'approvisionnement pour les sites isolés.</t>
  </si>
  <si>
    <t>SIA RESTAURATION</t>
  </si>
  <si>
    <t>76,16%</t>
  </si>
  <si>
    <t>LSG SKY CHEFS</t>
  </si>
  <si>
    <t>14,34%</t>
  </si>
  <si>
    <t>9,50%</t>
  </si>
  <si>
    <t>Mr Denis HASDENTEUFEUL</t>
  </si>
  <si>
    <t>Mr BRAASTAD Mark</t>
  </si>
  <si>
    <t>Stéphanie TETCHI-YAVO Epse DJAKO</t>
  </si>
  <si>
    <t>Présente en Côte d’Ivoire depuis 1960, TRACTAFRIC Motors CI importe et commercialise les marques Hyundai, Ford, Mazda, BMW et Mini à travers ses différentes concessions automobiles. Elle propose également des services de location de véhicules EUROPCAR ainsi qu’un service de pneus MICHELIN.</t>
  </si>
  <si>
    <t>TRACTAFRIC MOTORS COMPANY</t>
  </si>
  <si>
    <t>73,00%</t>
  </si>
  <si>
    <t>27,00%</t>
  </si>
  <si>
    <t>M.Abdelali ENNACIRI</t>
  </si>
  <si>
    <t>M.Rachid BELGHITI</t>
  </si>
  <si>
    <t>Mme. Emilie JIEUGANG</t>
  </si>
  <si>
    <t>Mme. Amelie KONAN</t>
  </si>
  <si>
    <t>La filiale ivoirienne d’Africa Global Logistics (AGL) se positionne comme un acteur majeur dans les secteurs du transport et de la logistique en Côte d’Ivoire. Forte de 50 ans d’expérience, elle propose des services multimodaux couvrant la manutention portuaire, le transport ferroviaire et routier, l’entreposage, ainsi que la gestion de chaînes d’approvisionnement pour les grands projets.</t>
  </si>
  <si>
    <t>Actif circulant</t>
  </si>
  <si>
    <t>Total immobilisation</t>
  </si>
  <si>
    <t>Passif circulant</t>
  </si>
  <si>
    <t>Valeur ajoutée</t>
  </si>
  <si>
    <t xml:space="preserve">Résultat avant impôt </t>
  </si>
  <si>
    <t xml:space="preserve">EBIT </t>
  </si>
  <si>
    <t xml:space="preserve">EBITDA </t>
  </si>
  <si>
    <t>Résultat net (RN)</t>
  </si>
  <si>
    <t xml:space="preserve">Dette totale </t>
  </si>
  <si>
    <t xml:space="preserve">Cours au 31/12 </t>
  </si>
  <si>
    <t xml:space="preserve">CAPEX </t>
  </si>
  <si>
    <t>MSC</t>
  </si>
  <si>
    <t>M. Philippe Labonne</t>
  </si>
  <si>
    <t>Mme.Asta-Rosa Cissé</t>
  </si>
  <si>
    <t>M.David Alliali</t>
  </si>
  <si>
    <t>Air Liquide Côte d’Ivoire est la filiale locale d’un groupe mondial spécialisé dans les gaz, technologies et services pour l’industrie et la santé. Fondée en 1961 (initialement sous le nom Société Ivoirienne d’Oxygène et d’Acétylène), elle produit et distribue des gaz industriels et médicaux (azote, oxygène, argon, etc.) pour des secteurs variés tels que la pharmaceutique, les mines, l’agroalimentaire ou la santé.</t>
  </si>
  <si>
    <t>Total actif</t>
  </si>
  <si>
    <t>Résultat avant impôt</t>
  </si>
  <si>
    <t>EBIT = Résultat d’exploitation</t>
  </si>
  <si>
    <t>EBITDA</t>
  </si>
  <si>
    <t>DNPA (FCFA)</t>
  </si>
  <si>
    <t>Cours au 31/12 (FCFA)</t>
  </si>
  <si>
    <t>AIR LIQUIDE INTERNATIONNAL SA</t>
  </si>
  <si>
    <t xml:space="preserve">M. COCITO Stéfano Richardo
</t>
  </si>
  <si>
    <t>Spécialiste de la fabrication et de la commercialisation d’emballages métalliques destinés aux secteurs alimentaire, industriel et des boissons, EVIOSYS s’impose comme un acteur local de référence dans ce créneau.</t>
  </si>
  <si>
    <t>CROWN EUROPE HOLDING</t>
  </si>
  <si>
    <t>FONDATION MASSEYE</t>
  </si>
  <si>
    <t>DIVERS FRANCAIS</t>
  </si>
  <si>
    <t>M.MOHAMED DAO</t>
  </si>
  <si>
    <t>NEI‑CEDA Côte d’Ivoire (code BRVM : NEIC) est née de la fusion, en 2012, entre Nouvelles Éditions Ivoiriennes (NEI) et le Centre d’Édition et de Diffusion Africaines (CEDA) et se positionne comme un acteur majeur de l’édition en Côte d’Ivoire.</t>
  </si>
  <si>
    <t>Actif circulant (net)</t>
  </si>
  <si>
    <t>Total Actif (net)</t>
  </si>
  <si>
    <t>Chiffre d’affaires (CA)</t>
  </si>
  <si>
    <t>Résultat avant impôt (activités ordinaires)</t>
  </si>
  <si>
    <t>EBIT (Résultat d’exploitation)</t>
  </si>
  <si>
    <t>EBITDA / EBE (Résultat brut d’exploitation)</t>
  </si>
  <si>
    <t>Résultat net</t>
  </si>
  <si>
    <t>CAPEX (Acquisitions d’immobilisations corporelles)</t>
  </si>
  <si>
    <t>GROUPE HACHETTE LIVRE</t>
  </si>
  <si>
    <t>EDIPRESSE</t>
  </si>
  <si>
    <t>M. DOSSO Lémissa( décédé)</t>
  </si>
  <si>
    <t>M.Dominique Le BOULCH</t>
  </si>
  <si>
    <t>M.Roger Oze</t>
  </si>
  <si>
    <t>La Loterie Nationale du Bénin (LNB) est une entreprise publique stratégique créée en 1967, aujourd’hui devenue un acteur majeur du secteur des jeux et du divertissement au Bénin. La LNB développe une offre diversifiée (loteries, jeux digitaux, paris), portée par une stratégie de modernisation et de digitalisation qui élargit continuellement sa base de joueurs.</t>
  </si>
  <si>
    <t>EBITDA / RBE / EBE</t>
  </si>
  <si>
    <t>M.Abdou Rafiou BELLO</t>
  </si>
  <si>
    <t>M.Gaston ZOSSOU</t>
  </si>
  <si>
    <t>M.Raphaël Nougbode</t>
  </si>
  <si>
    <t>M.Espéra GANDAHO</t>
  </si>
  <si>
    <t>PALMCI, filiale du groupe agro-industriel SIFCA, est le principal producteur d’huile de palme brute en Côte d’Ivoire et l’un des leaders de la région. Créée en 1997, l’entreprise exploite près de 40 000 hectares de plantations industrielles et s’appuie sur un réseau de 30 000 petits planteurs, faisant d’elle un acteur clé de la filière palmier à huile.</t>
  </si>
  <si>
    <t xml:space="preserve">PER </t>
  </si>
  <si>
    <t>SIFCA</t>
  </si>
  <si>
    <t>NAUVU</t>
  </si>
  <si>
    <t>M.Alassane DOUMBIA</t>
  </si>
  <si>
    <t>M.COULIBALY Lacina</t>
  </si>
  <si>
    <t>SAPH, filiale du groupe SIFCA depuis 1999, est une entreprise spécialisée dans la production de caoutchouc naturel en Côte d’Ivoire. Elle exploite environ 24 400 hectares de plantations industrielles et encadre un réseau d’environ 29 000 planteurs</t>
  </si>
  <si>
    <t>Capitaux propres (part du groupe)</t>
  </si>
  <si>
    <t>EBITDA = Résultat brut d’exploitation</t>
  </si>
  <si>
    <t>Cours au 31/12 (F CFA)</t>
  </si>
  <si>
    <t>SIPH</t>
  </si>
  <si>
    <t>MICHELIN</t>
  </si>
  <si>
    <t>M.MARC GENOT</t>
  </si>
  <si>
    <t>La Société d’Études et de Travaux pour l’Afrique de l’Ouest (SETAO), filiale du Bouygues Construction ouverte en Côte d’Ivoire et active dans la région depuis 1950, est spécialisée dans les services de conseil, d’ingénierie et de construction d’infrastructures. Elle intervient sur l’ensemble de la chaîne de valeur de la construction d'ouvrages durables.</t>
  </si>
  <si>
    <t>EBITDA (EBE)</t>
  </si>
  <si>
    <t>SOCIÉTÉ BOUYGUES</t>
  </si>
  <si>
    <t xml:space="preserve">M.Ali BENCHEQROUN
</t>
  </si>
  <si>
    <t xml:space="preserve">M.Manuel BAZAN
</t>
  </si>
  <si>
    <t>Mme.Amira Lobognon</t>
  </si>
  <si>
    <t>SICABLE (Société Ivoirienne de Câbles) est une entreprise ivoirienne spécialisée dans la fabrication de câbles électriques, fondée en 1976. Filiale du Prysmian Group (groupe italien mondial dans l’industrie des câbles), elle développe et commercialise une gamme complète de fils et câbles basse, moyenne et haute tension destinés aux secteurs de la construction, de l’industrie, des infrastructures et des réseaux aériens et souterrains.</t>
  </si>
  <si>
    <t>EBITDA / EBE</t>
  </si>
  <si>
    <t>PRYSMIAN CABLES ET SYSTÈME FRANCE</t>
  </si>
  <si>
    <t>M.  Frédéric Bellot</t>
  </si>
  <si>
    <t>M. Frédéric TAILHEURET</t>
  </si>
  <si>
    <t>Société Ivoirienne de Coco Râpé (SICOR) est une entreprise ivoirienne de transformation agro-alimentaire, spécialisée dans la noix de coco et ses produits dérivés (coco râpé, coprah, tourteaux). Elle est cotée à la Bourse Régionale des Valeurs Mobilières (BRVM) depuis le 16 septembre 1998</t>
  </si>
  <si>
    <t>DEVACO</t>
  </si>
  <si>
    <t>SAYEGH HUSSEIN</t>
  </si>
  <si>
    <t>SAYEGH JAMAL</t>
  </si>
  <si>
    <t>Société des Caoutchoucs de Grand‑Béréby (SOGB) est une entreprise ivoirienne créée en 1969 dans le but de contribuer au désenclavement de la région sud-ouest de la Côte d’Ivoire. L’activité principale de l’entreprise inclut la culture industrielle du caoutchouc, la transformation et la commercialisation des produits en caoutchouc, ainsi que la production d’huile de palme.</t>
  </si>
  <si>
    <t xml:space="preserve">DNPA </t>
  </si>
  <si>
    <t>BEREBY FINANCES</t>
  </si>
  <si>
    <t xml:space="preserve">M. Fulgence KOFFI 
</t>
  </si>
  <si>
    <t xml:space="preserve">M. Jean-Christophe DIENST 
</t>
  </si>
  <si>
    <t>L’activité de SUCRIVOIRE est répartie en trois principaux volets, à savoir : l’agriculture, la production et la distribution. Elle possède 11 382 hectares de plantations de canne à sucre reparties sur deux unités industrielles d’une capacité de plus de 110 000 tonnes. L’offre de SUCRIVOIRE est exclusivement dédiée au marché national et plus particulièrement auprès des grossistes, grandes et moyennes surfaces de distribution, et industriels.</t>
  </si>
  <si>
    <t>IVOIREL</t>
  </si>
  <si>
    <t>M.Pierluigi PASSERA</t>
  </si>
  <si>
    <t>Unilever CI opère notamment dans les segments des aliments (bouillons, sauces, condiments), des produits d’entretien ménager (lessives, savons), et des soins personnels (dentifrices, savons, déodorants) adaptés aux spécificités du marché ouest-africain.</t>
  </si>
  <si>
    <t>EBITDA / EBE (Résultat Brut d’Exploitation)</t>
  </si>
  <si>
    <t>SDTM</t>
  </si>
  <si>
    <t xml:space="preserve">M. Tim Kleinebenne.
</t>
  </si>
  <si>
    <t xml:space="preserve">M.Arona DIOP
</t>
  </si>
  <si>
    <t>YVES ARMEL KOUAKOU</t>
  </si>
  <si>
    <t>SLBC</t>
  </si>
  <si>
    <t>BNBC</t>
  </si>
  <si>
    <t>NTLC</t>
  </si>
  <si>
    <t>SMBC</t>
  </si>
  <si>
    <t>STBC</t>
  </si>
  <si>
    <t>UNXC</t>
  </si>
  <si>
    <t>TTLC</t>
  </si>
  <si>
    <t>TTLS</t>
  </si>
  <si>
    <t>SHEC</t>
  </si>
  <si>
    <t>SNTS</t>
  </si>
  <si>
    <t>Presentation</t>
  </si>
  <si>
    <t xml:space="preserve">Presenataion </t>
  </si>
  <si>
    <t>Symbole</t>
  </si>
  <si>
    <t>UNLC</t>
  </si>
  <si>
    <t>SCRC</t>
  </si>
  <si>
    <t>Presentaion</t>
  </si>
  <si>
    <t>SICC</t>
  </si>
  <si>
    <t>SOGC</t>
  </si>
  <si>
    <t>CABC</t>
  </si>
  <si>
    <t>STAC</t>
  </si>
  <si>
    <t>SPHC</t>
  </si>
  <si>
    <t>PALC</t>
  </si>
  <si>
    <t>LNBB</t>
  </si>
  <si>
    <t>NEIC</t>
  </si>
  <si>
    <t>SEMC</t>
  </si>
  <si>
    <t>SIVC</t>
  </si>
  <si>
    <t>SDSC</t>
  </si>
  <si>
    <t>PRSC</t>
  </si>
  <si>
    <t>ABJC</t>
  </si>
  <si>
    <t>CFAC</t>
  </si>
  <si>
    <t>CIEC</t>
  </si>
  <si>
    <t>SDCC</t>
  </si>
  <si>
    <t>ONTBF</t>
  </si>
  <si>
    <t>ORAC</t>
  </si>
  <si>
    <t>FTSC</t>
  </si>
  <si>
    <t xml:space="preserve">M. El Hadji Malick DARY </t>
  </si>
  <si>
    <t>Directeur Marketing/Commercial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</si>
</sst>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00"/>
    <numFmt numFmtId="165" formatCode="#,##0\ [$€-1]"/>
    <numFmt numFmtId="166" formatCode="0.0"/>
    <numFmt numFmtId="167" formatCode="0.0000"/>
  </numFmts>
  <fonts count="20">
    <font>
      <sz val="11"/>
      <color theme="1"/>
      <name val="Calibri"/>
      <scheme val="minor"/>
    </font>
    <font>
      <sz val="11"/>
      <color theme="1"/>
      <name val="Calibri"/>
      <family val="2"/>
      <scheme val="minor"/>
    </font>
    <font>
      <sz val="11"/>
      <color theme="1"/>
      <name val="Calibri"/>
    </font>
    <font>
      <b/>
      <sz val="11"/>
      <color theme="1"/>
      <name val="Calibri"/>
    </font>
    <font>
      <sz val="11"/>
      <color theme="1"/>
      <name val="Calibri"/>
      <scheme val="minor"/>
    </font>
    <font>
      <sz val="11"/>
      <color theme="1"/>
      <name val="Arial"/>
    </font>
    <font>
      <sz val="11"/>
      <color theme="1"/>
      <name val="Arial"/>
    </font>
    <font>
      <b/>
      <sz val="11"/>
      <color theme="1"/>
      <name val="Calibri"/>
      <scheme val="minor"/>
    </font>
    <font>
      <sz val="9"/>
      <color theme="1"/>
      <name val="Google Sans Mono"/>
    </font>
    <font>
      <sz val="11"/>
      <color theme="1"/>
      <name val="OpenSans-Regular"/>
    </font>
    <font>
      <sz val="11"/>
      <color rgb="FF000000"/>
      <name val="Arial"/>
    </font>
    <font>
      <sz val="11"/>
      <color rgb="FF000000"/>
      <name val="OpenSans-Regular"/>
    </font>
    <font>
      <sz val="11"/>
      <name val="Fira Code"/>
    </font>
    <font>
      <b/>
      <sz val="11"/>
      <color theme="1"/>
      <name val="Calibri"/>
      <family val="2"/>
      <scheme val="minor"/>
    </font>
    <font>
      <sz val="11"/>
      <color theme="1"/>
      <name val="Calibri"/>
      <family val="2"/>
    </font>
    <font>
      <b/>
      <sz val="11"/>
      <color theme="1"/>
      <name val="Calibri"/>
      <family val="2"/>
    </font>
    <font>
      <b/>
      <sz val="11"/>
      <color theme="1"/>
      <name val="Calibri"/>
      <family val="2"/>
      <scheme val="major"/>
    </font>
    <font>
      <sz val="11"/>
      <color theme="1"/>
      <name val="Calibri"/>
      <family val="2"/>
      <scheme val="major"/>
    </font>
    <font>
      <sz val="11"/>
      <name val="Calibri"/>
      <family val="2"/>
      <scheme val="major"/>
    </font>
    <font>
      <sz val="11"/>
      <color theme="1"/>
      <name val="Fira Code"/>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9">
    <xf numFmtId="0" fontId="0" fillId="0" borderId="0" xfId="0" applyFont="1" applyAlignment="1"/>
    <xf numFmtId="49" fontId="2" fillId="0" borderId="0" xfId="0" applyNumberFormat="1" applyFont="1" applyAlignment="1">
      <alignment horizontal="lef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center"/>
    </xf>
    <xf numFmtId="49" fontId="2" fillId="0" borderId="0" xfId="0" applyNumberFormat="1" applyFont="1"/>
    <xf numFmtId="0" fontId="2" fillId="0" borderId="0" xfId="0" applyFont="1"/>
    <xf numFmtId="2" fontId="4" fillId="0" borderId="0" xfId="0" applyNumberFormat="1" applyFont="1"/>
    <xf numFmtId="1" fontId="2" fillId="0" borderId="0" xfId="0" applyNumberFormat="1" applyFont="1"/>
    <xf numFmtId="164" fontId="4" fillId="0" borderId="0" xfId="0" applyNumberFormat="1" applyFont="1"/>
    <xf numFmtId="49" fontId="3" fillId="0" borderId="1" xfId="0" applyNumberFormat="1" applyFont="1" applyBorder="1" applyAlignment="1">
      <alignment horizontal="left" vertical="top" wrapText="1"/>
    </xf>
    <xf numFmtId="10" fontId="2" fillId="0" borderId="1" xfId="0" applyNumberFormat="1" applyFont="1" applyBorder="1" applyAlignment="1">
      <alignment horizontal="left" vertical="top" wrapText="1"/>
    </xf>
    <xf numFmtId="0" fontId="4" fillId="0" borderId="0" xfId="0" applyFont="1" applyAlignment="1"/>
    <xf numFmtId="0" fontId="5" fillId="0" borderId="0" xfId="0" applyFont="1" applyAlignment="1"/>
    <xf numFmtId="0" fontId="6" fillId="0" borderId="0" xfId="0" applyFont="1"/>
    <xf numFmtId="0" fontId="6" fillId="2" borderId="0" xfId="0" applyFont="1" applyFill="1"/>
    <xf numFmtId="0" fontId="5" fillId="0" borderId="0" xfId="0" applyFont="1"/>
    <xf numFmtId="0" fontId="7" fillId="0" borderId="0" xfId="0" applyFont="1" applyAlignment="1">
      <alignment horizontal="center"/>
    </xf>
    <xf numFmtId="0" fontId="7" fillId="0" borderId="0" xfId="0" applyFont="1" applyAlignment="1">
      <alignment horizontal="center"/>
    </xf>
    <xf numFmtId="10" fontId="4" fillId="0" borderId="0" xfId="0" applyNumberFormat="1" applyFont="1" applyAlignment="1"/>
    <xf numFmtId="9" fontId="2" fillId="0" borderId="0" xfId="0" applyNumberFormat="1" applyFont="1"/>
    <xf numFmtId="9" fontId="4" fillId="0" borderId="0" xfId="0" applyNumberFormat="1" applyFont="1" applyAlignment="1"/>
    <xf numFmtId="0" fontId="2" fillId="0" borderId="0" xfId="0" applyFont="1" applyAlignment="1">
      <alignment horizontal="left" vertical="top" wrapText="1"/>
    </xf>
    <xf numFmtId="0" fontId="3" fillId="0" borderId="0" xfId="0" applyFont="1" applyAlignment="1">
      <alignment horizontal="center"/>
    </xf>
    <xf numFmtId="49" fontId="3" fillId="0" borderId="0" xfId="0" applyNumberFormat="1" applyFont="1" applyAlignment="1">
      <alignment horizontal="left" vertical="top" wrapText="1"/>
    </xf>
    <xf numFmtId="0" fontId="4" fillId="0" borderId="0" xfId="0" applyFont="1"/>
    <xf numFmtId="1" fontId="4" fillId="0" borderId="0" xfId="0" applyNumberFormat="1" applyFont="1"/>
    <xf numFmtId="49" fontId="2" fillId="0" borderId="1" xfId="0" applyNumberFormat="1" applyFont="1" applyBorder="1" applyAlignment="1">
      <alignment horizontal="left" vertical="top" wrapText="1"/>
    </xf>
    <xf numFmtId="10" fontId="2" fillId="0" borderId="0" xfId="0" applyNumberFormat="1" applyFont="1"/>
    <xf numFmtId="10" fontId="8" fillId="0" borderId="0" xfId="0" applyNumberFormat="1" applyFont="1" applyAlignment="1"/>
    <xf numFmtId="49" fontId="2" fillId="0" borderId="0" xfId="0" applyNumberFormat="1" applyFont="1" applyAlignment="1">
      <alignment wrapText="1"/>
    </xf>
    <xf numFmtId="1" fontId="4" fillId="0" borderId="0" xfId="0" applyNumberFormat="1" applyFont="1" applyAlignment="1"/>
    <xf numFmtId="0" fontId="6" fillId="0" borderId="0" xfId="0" applyFont="1" applyAlignment="1"/>
    <xf numFmtId="0" fontId="6" fillId="2" borderId="0" xfId="0" applyFont="1" applyFill="1" applyAlignment="1"/>
    <xf numFmtId="0" fontId="5" fillId="0" borderId="0" xfId="0" applyFont="1" applyAlignment="1"/>
    <xf numFmtId="0" fontId="3" fillId="0" borderId="0" xfId="0" applyFont="1" applyAlignment="1">
      <alignment wrapText="1"/>
    </xf>
    <xf numFmtId="0" fontId="3" fillId="0" borderId="1" xfId="0" applyFont="1" applyBorder="1" applyAlignment="1">
      <alignment horizontal="center" wrapText="1"/>
    </xf>
    <xf numFmtId="0" fontId="2" fillId="0" borderId="1" xfId="0" applyFont="1" applyBorder="1" applyAlignment="1">
      <alignment horizontal="left" wrapText="1"/>
    </xf>
    <xf numFmtId="10" fontId="2" fillId="0" borderId="1" xfId="0" applyNumberFormat="1" applyFont="1" applyBorder="1" applyAlignment="1">
      <alignment horizontal="left" wrapText="1"/>
    </xf>
    <xf numFmtId="0" fontId="3" fillId="0" borderId="0" xfId="0" applyFont="1" applyAlignment="1">
      <alignment horizontal="center" wrapText="1"/>
    </xf>
    <xf numFmtId="9" fontId="2" fillId="0" borderId="1" xfId="0" applyNumberFormat="1" applyFont="1" applyBorder="1" applyAlignment="1">
      <alignment horizontal="left" wrapText="1"/>
    </xf>
    <xf numFmtId="165" fontId="2" fillId="0" borderId="0" xfId="0" applyNumberFormat="1" applyFont="1"/>
    <xf numFmtId="0" fontId="9" fillId="2" borderId="0" xfId="0" applyFont="1" applyFill="1"/>
    <xf numFmtId="166" fontId="4" fillId="0" borderId="0" xfId="0" applyNumberFormat="1" applyFont="1"/>
    <xf numFmtId="0" fontId="2" fillId="0" borderId="1" xfId="0" applyFont="1" applyBorder="1" applyAlignment="1">
      <alignment horizontal="left" wrapText="1"/>
    </xf>
    <xf numFmtId="10" fontId="2" fillId="0" borderId="1" xfId="0" applyNumberFormat="1" applyFont="1" applyBorder="1" applyAlignment="1">
      <alignment horizontal="left" wrapText="1"/>
    </xf>
    <xf numFmtId="0" fontId="7" fillId="0" borderId="0" xfId="0" applyFont="1" applyAlignment="1">
      <alignment horizontal="center"/>
    </xf>
    <xf numFmtId="10" fontId="4" fillId="0" borderId="0" xfId="0" applyNumberFormat="1" applyFont="1"/>
    <xf numFmtId="49" fontId="2" fillId="0" borderId="0" xfId="0" applyNumberFormat="1" applyFont="1" applyAlignment="1">
      <alignment horizontal="left" vertical="top" wrapText="1"/>
    </xf>
    <xf numFmtId="0" fontId="0" fillId="0" borderId="0" xfId="0" applyFont="1" applyAlignment="1"/>
    <xf numFmtId="0" fontId="12" fillId="0" borderId="0" xfId="0" applyFont="1" applyAlignment="1">
      <alignment vertical="center"/>
    </xf>
    <xf numFmtId="49" fontId="15" fillId="0" borderId="0" xfId="0" applyNumberFormat="1" applyFont="1" applyAlignment="1">
      <alignment horizontal="left" vertical="top" wrapText="1"/>
    </xf>
    <xf numFmtId="0" fontId="1" fillId="0" borderId="0" xfId="0" applyFont="1" applyAlignment="1"/>
    <xf numFmtId="0" fontId="14" fillId="0" borderId="0" xfId="0" applyFont="1" applyAlignment="1">
      <alignment wrapText="1"/>
    </xf>
    <xf numFmtId="0" fontId="13" fillId="0" borderId="0" xfId="0" applyFont="1" applyAlignment="1"/>
    <xf numFmtId="0" fontId="13" fillId="0" borderId="0" xfId="0" applyFont="1"/>
    <xf numFmtId="0" fontId="16" fillId="0" borderId="0" xfId="0" applyFont="1" applyAlignment="1"/>
    <xf numFmtId="0" fontId="17" fillId="0" borderId="0" xfId="0" applyFont="1" applyAlignment="1"/>
    <xf numFmtId="0" fontId="16" fillId="0" borderId="0" xfId="0" applyFont="1"/>
    <xf numFmtId="0" fontId="16" fillId="0" borderId="0" xfId="0" applyFont="1" applyAlignment="1">
      <alignment horizontal="center"/>
    </xf>
    <xf numFmtId="167" fontId="17" fillId="0" borderId="0" xfId="0" applyNumberFormat="1" applyFont="1"/>
    <xf numFmtId="10" fontId="17" fillId="0" borderId="0" xfId="0" applyNumberFormat="1" applyFont="1" applyAlignment="1"/>
    <xf numFmtId="9" fontId="17" fillId="0" borderId="0" xfId="0" applyNumberFormat="1" applyFont="1" applyAlignment="1"/>
    <xf numFmtId="0" fontId="17" fillId="0" borderId="0" xfId="0" applyFont="1"/>
    <xf numFmtId="0" fontId="17" fillId="2" borderId="0" xfId="0" applyFont="1" applyFill="1"/>
    <xf numFmtId="0" fontId="18" fillId="0" borderId="0" xfId="0" applyFont="1" applyAlignment="1">
      <alignment vertical="center"/>
    </xf>
    <xf numFmtId="0" fontId="17" fillId="0" borderId="0" xfId="0" applyFont="1" applyAlignment="1">
      <alignment wrapText="1"/>
    </xf>
    <xf numFmtId="0" fontId="15" fillId="0" borderId="0" xfId="0" applyFont="1" applyAlignment="1">
      <alignment wrapText="1"/>
    </xf>
    <xf numFmtId="0" fontId="19" fillId="0" borderId="0" xfId="0" applyFont="1" applyAlignment="1">
      <alignment vertical="center"/>
    </xf>
    <xf numFmtId="0" fontId="13" fillId="0" borderId="0" xfId="0" applyFont="1" applyAlignment="1">
      <alignment horizontal="center"/>
    </xf>
    <xf numFmtId="0" fontId="4" fillId="0" borderId="0" xfId="0" applyNumberFormat="1" applyFont="1" applyAlignment="1"/>
    <xf numFmtId="0" fontId="7" fillId="0" borderId="0" xfId="0" applyNumberFormat="1" applyFont="1" applyAlignment="1">
      <alignment horizontal="center"/>
    </xf>
    <xf numFmtId="0" fontId="0" fillId="0" borderId="0" xfId="0" applyNumberFormat="1" applyFont="1" applyAlignment="1"/>
    <xf numFmtId="0" fontId="11" fillId="2" borderId="0" xfId="0" applyNumberFormat="1" applyFont="1" applyFill="1" applyAlignment="1">
      <alignment horizontal="right"/>
    </xf>
    <xf numFmtId="0" fontId="2" fillId="0" borderId="0" xfId="0" applyNumberFormat="1" applyFont="1"/>
    <xf numFmtId="0" fontId="4" fillId="0" borderId="0" xfId="0" applyNumberFormat="1" applyFont="1"/>
    <xf numFmtId="0" fontId="2" fillId="0" borderId="0" xfId="0" applyNumberFormat="1" applyFont="1" applyAlignment="1"/>
    <xf numFmtId="0" fontId="10" fillId="0" borderId="0" xfId="0" applyNumberFormat="1" applyFont="1" applyAlignment="1">
      <alignment horizontal="right"/>
    </xf>
    <xf numFmtId="0" fontId="13" fillId="0" borderId="0" xfId="0" applyNumberFormat="1" applyFont="1" applyAlignment="1">
      <alignment horizontal="center"/>
    </xf>
    <xf numFmtId="0" fontId="7" fillId="0" borderId="0" xfId="0" applyNumberFormat="1" applyFont="1" applyAlignment="1">
      <alignment horizontal="right"/>
    </xf>
    <xf numFmtId="0" fontId="4" fillId="0" borderId="0" xfId="0" applyNumberFormat="1" applyFont="1" applyAlignment="1">
      <alignment horizontal="right"/>
    </xf>
    <xf numFmtId="0" fontId="17" fillId="0" borderId="0" xfId="0" applyNumberFormat="1" applyFont="1" applyAlignment="1"/>
    <xf numFmtId="0" fontId="16" fillId="0" borderId="0" xfId="0" applyNumberFormat="1" applyFont="1" applyAlignment="1">
      <alignment horizontal="center"/>
    </xf>
    <xf numFmtId="0" fontId="17" fillId="0" borderId="0" xfId="0" applyNumberFormat="1" applyFont="1"/>
    <xf numFmtId="0" fontId="2" fillId="0" borderId="0" xfId="0" applyNumberFormat="1" applyFont="1" applyAlignment="1">
      <alignment horizontal="left" vertical="top" wrapText="1"/>
    </xf>
    <xf numFmtId="0" fontId="3" fillId="0" borderId="0" xfId="0" applyNumberFormat="1" applyFont="1" applyAlignment="1">
      <alignment horizontal="center"/>
    </xf>
    <xf numFmtId="0" fontId="1" fillId="0" borderId="0" xfId="0" applyNumberFormat="1" applyFont="1"/>
    <xf numFmtId="0" fontId="1" fillId="0" borderId="0" xfId="0" applyNumberFormat="1" applyFont="1" applyAlignment="1"/>
    <xf numFmtId="1" fontId="1" fillId="0" borderId="0" xfId="0" applyNumberFormat="1" applyFont="1" applyAlignme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customschemas.google.com/relationships/workbookmetadata" Target="metadata"/><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J1000"/>
  <sheetViews>
    <sheetView topLeftCell="A18" zoomScaleNormal="100" workbookViewId="0">
      <selection activeCell="A32" sqref="A32"/>
    </sheetView>
  </sheetViews>
  <sheetFormatPr baseColWidth="10" defaultColWidth="14.453125" defaultRowHeight="15" customHeight="1"/>
  <cols>
    <col min="1" max="1" width="45" customWidth="1"/>
    <col min="2" max="5" width="14" customWidth="1"/>
    <col min="6" max="6" width="8.7265625" customWidth="1"/>
  </cols>
  <sheetData>
    <row r="1" spans="1:10" ht="14.5">
      <c r="A1" s="50" t="s">
        <v>315</v>
      </c>
      <c r="B1" s="50" t="s">
        <v>317</v>
      </c>
      <c r="C1" s="1"/>
      <c r="D1" s="1"/>
      <c r="E1" s="1"/>
    </row>
    <row r="2" spans="1:10" ht="72.5">
      <c r="A2" s="1" t="s">
        <v>0</v>
      </c>
      <c r="B2" s="49" t="s">
        <v>305</v>
      </c>
      <c r="C2" s="1"/>
      <c r="D2" s="1"/>
      <c r="E2" s="1"/>
    </row>
    <row r="3" spans="1:10" ht="14.5"/>
    <row r="4" spans="1:10" ht="14.5">
      <c r="A4" s="50" t="s">
        <v>100</v>
      </c>
      <c r="B4" s="1" t="s">
        <v>2</v>
      </c>
      <c r="C4" s="1" t="s">
        <v>3</v>
      </c>
      <c r="D4" s="1" t="s">
        <v>4</v>
      </c>
      <c r="E4" s="2" t="s">
        <v>5</v>
      </c>
    </row>
    <row r="5" spans="1:10" ht="15.75" customHeight="1">
      <c r="A5" s="50"/>
      <c r="B5" s="1"/>
      <c r="C5" s="1"/>
      <c r="D5" s="1"/>
      <c r="E5" s="1"/>
    </row>
    <row r="6" spans="1:10" ht="15.75" customHeight="1">
      <c r="A6" s="3" t="s">
        <v>6</v>
      </c>
      <c r="B6" s="3" t="s">
        <v>7</v>
      </c>
      <c r="C6" s="3" t="s">
        <v>8</v>
      </c>
      <c r="D6" s="3" t="s">
        <v>9</v>
      </c>
      <c r="E6" s="3" t="s">
        <v>10</v>
      </c>
    </row>
    <row r="7" spans="1:10" ht="15.75" customHeight="1">
      <c r="A7" s="4" t="s">
        <v>11</v>
      </c>
      <c r="B7" s="73">
        <v>190308</v>
      </c>
      <c r="C7" s="73">
        <v>189011</v>
      </c>
      <c r="D7" s="73">
        <v>176240</v>
      </c>
      <c r="E7" s="73">
        <v>166354</v>
      </c>
    </row>
    <row r="8" spans="1:10" ht="15.75" customHeight="1">
      <c r="A8" s="5" t="s">
        <v>12</v>
      </c>
      <c r="B8" s="73">
        <v>124879</v>
      </c>
      <c r="C8" s="73">
        <v>140452</v>
      </c>
      <c r="D8" s="73">
        <v>149997</v>
      </c>
      <c r="E8" s="73">
        <v>136455</v>
      </c>
    </row>
    <row r="9" spans="1:10" ht="15.75" customHeight="1">
      <c r="A9" s="5" t="s">
        <v>13</v>
      </c>
      <c r="B9" s="73">
        <v>316350</v>
      </c>
      <c r="C9" s="73">
        <v>334102</v>
      </c>
      <c r="D9" s="73">
        <v>327698</v>
      </c>
      <c r="E9" s="73">
        <v>307546</v>
      </c>
    </row>
    <row r="10" spans="1:10" ht="15.75" customHeight="1">
      <c r="A10" s="5" t="s">
        <v>14</v>
      </c>
      <c r="B10" s="73">
        <v>144022</v>
      </c>
      <c r="C10" s="73">
        <v>137832</v>
      </c>
      <c r="D10" s="73">
        <v>152909</v>
      </c>
      <c r="E10" s="73">
        <v>169443</v>
      </c>
    </row>
    <row r="11" spans="1:10" ht="15.75" customHeight="1">
      <c r="A11" s="5" t="s">
        <v>15</v>
      </c>
      <c r="B11" s="73">
        <v>65362</v>
      </c>
      <c r="C11" s="73">
        <v>63103</v>
      </c>
      <c r="D11" s="73">
        <v>49868</v>
      </c>
      <c r="E11" s="73">
        <v>60888</v>
      </c>
    </row>
    <row r="12" spans="1:10" ht="15.75" customHeight="1">
      <c r="A12" s="5" t="s">
        <v>16</v>
      </c>
      <c r="B12" s="73">
        <v>299269</v>
      </c>
      <c r="C12" s="73">
        <v>281880</v>
      </c>
      <c r="D12" s="73">
        <v>311395</v>
      </c>
      <c r="E12" s="73">
        <v>309722</v>
      </c>
    </row>
    <row r="13" spans="1:10" ht="15.75" customHeight="1">
      <c r="A13" s="5" t="s">
        <v>17</v>
      </c>
      <c r="B13" s="73"/>
      <c r="C13" s="73"/>
      <c r="D13" s="73"/>
      <c r="E13" s="73"/>
    </row>
    <row r="14" spans="1:10" ht="15.75" customHeight="1">
      <c r="A14" s="5" t="s">
        <v>18</v>
      </c>
      <c r="B14" s="73">
        <v>8111</v>
      </c>
      <c r="C14" s="73">
        <v>869</v>
      </c>
      <c r="D14" s="73">
        <v>3750</v>
      </c>
      <c r="E14" s="73">
        <v>8143</v>
      </c>
    </row>
    <row r="15" spans="1:10" ht="15.75" customHeight="1">
      <c r="A15" s="5" t="s">
        <v>19</v>
      </c>
      <c r="B15" s="73">
        <v>35605</v>
      </c>
      <c r="C15" s="73">
        <v>7112</v>
      </c>
      <c r="D15" s="73">
        <v>16807</v>
      </c>
      <c r="E15" s="73">
        <v>34735</v>
      </c>
    </row>
    <row r="16" spans="1:10" ht="15.75" customHeight="1">
      <c r="A16" s="5" t="s">
        <v>20</v>
      </c>
      <c r="B16" s="73">
        <v>61158</v>
      </c>
      <c r="C16" s="73">
        <v>35345</v>
      </c>
      <c r="D16" s="73">
        <v>41205</v>
      </c>
      <c r="E16" s="73">
        <v>57494</v>
      </c>
      <c r="H16" s="6"/>
      <c r="I16" s="6"/>
      <c r="J16" s="6"/>
    </row>
    <row r="17" spans="1:7" ht="15.75" customHeight="1">
      <c r="A17" s="5" t="s">
        <v>21</v>
      </c>
      <c r="B17" s="73">
        <v>22020</v>
      </c>
      <c r="C17" s="73">
        <v>1217</v>
      </c>
      <c r="D17" s="73">
        <v>15078</v>
      </c>
      <c r="E17" s="73">
        <v>21472</v>
      </c>
      <c r="G17" s="6"/>
    </row>
    <row r="18" spans="1:7" ht="15.75" customHeight="1">
      <c r="A18" s="5" t="s">
        <v>22</v>
      </c>
      <c r="B18" s="74">
        <f t="shared" ref="B18:E18" si="0">(B21*B4)/(B17*1000000)</f>
        <v>116.61630517711171</v>
      </c>
      <c r="C18" s="74">
        <f t="shared" si="0"/>
        <v>1126.0189098192277</v>
      </c>
      <c r="D18" s="74">
        <f t="shared" si="0"/>
        <v>94.978992837246324</v>
      </c>
      <c r="E18" s="74">
        <f t="shared" si="0"/>
        <v>99.277159486773471</v>
      </c>
    </row>
    <row r="19" spans="1:7" ht="15.75" customHeight="1">
      <c r="A19" s="5" t="s">
        <v>23</v>
      </c>
      <c r="B19" s="73">
        <f>7407378000*0.9/B4</f>
        <v>405</v>
      </c>
      <c r="C19" s="73">
        <v>0</v>
      </c>
      <c r="D19" s="73">
        <f>D23*1000000*0.9/D4</f>
        <v>269.98618904184855</v>
      </c>
      <c r="E19" s="73">
        <v>1074</v>
      </c>
      <c r="G19" s="8"/>
    </row>
    <row r="20" spans="1:7" ht="15.75" customHeight="1">
      <c r="A20" s="5" t="s">
        <v>24</v>
      </c>
      <c r="B20" s="73">
        <v>42381</v>
      </c>
      <c r="C20" s="73">
        <v>76739</v>
      </c>
      <c r="D20" s="73">
        <v>68110</v>
      </c>
      <c r="E20" s="73">
        <v>58381</v>
      </c>
    </row>
    <row r="21" spans="1:7" ht="15.75" customHeight="1">
      <c r="A21" s="5" t="s">
        <v>25</v>
      </c>
      <c r="B21" s="75">
        <v>156000</v>
      </c>
      <c r="C21" s="75">
        <v>83250</v>
      </c>
      <c r="D21" s="75">
        <v>87000</v>
      </c>
      <c r="E21" s="73">
        <v>12950</v>
      </c>
    </row>
    <row r="22" spans="1:7" ht="15.75" customHeight="1">
      <c r="A22" s="5" t="s">
        <v>26</v>
      </c>
      <c r="B22" s="71"/>
      <c r="C22" s="71"/>
      <c r="D22" s="71"/>
      <c r="E22" s="71"/>
    </row>
    <row r="23" spans="1:7" ht="15.75" customHeight="1">
      <c r="A23" s="5" t="s">
        <v>27</v>
      </c>
      <c r="B23" s="73">
        <v>7407</v>
      </c>
      <c r="C23" s="71"/>
      <c r="D23" s="73">
        <v>4938</v>
      </c>
      <c r="E23" s="73">
        <v>20082</v>
      </c>
    </row>
    <row r="24" spans="1:7" ht="15.75" customHeight="1"/>
    <row r="25" spans="1:7" ht="15.75" customHeight="1">
      <c r="A25" s="9" t="s">
        <v>28</v>
      </c>
      <c r="B25" s="9" t="s">
        <v>29</v>
      </c>
    </row>
    <row r="26" spans="1:7" ht="15.75" customHeight="1">
      <c r="A26" s="9" t="s">
        <v>30</v>
      </c>
      <c r="B26" s="10">
        <v>0.76880000000000004</v>
      </c>
    </row>
    <row r="27" spans="1:7" ht="15.75" customHeight="1">
      <c r="A27" s="9" t="s">
        <v>31</v>
      </c>
      <c r="B27" s="10">
        <v>0.186</v>
      </c>
    </row>
    <row r="28" spans="1:7" ht="15.75" customHeight="1">
      <c r="A28" s="9" t="s">
        <v>32</v>
      </c>
      <c r="B28" s="10">
        <v>4.5199999999999997E-2</v>
      </c>
    </row>
    <row r="29" spans="1:7" ht="15.75" customHeight="1"/>
    <row r="30" spans="1:7" ht="15.75" customHeight="1">
      <c r="A30" s="53" t="s">
        <v>33</v>
      </c>
    </row>
    <row r="31" spans="1:7" ht="15.75" customHeight="1"/>
    <row r="32" spans="1:7" ht="15.75" customHeight="1">
      <c r="A32" s="12" t="s">
        <v>34</v>
      </c>
      <c r="B32" s="12" t="s">
        <v>35</v>
      </c>
      <c r="C32" s="12" t="s">
        <v>36</v>
      </c>
      <c r="D32" s="12" t="s">
        <v>341</v>
      </c>
      <c r="E32" s="12"/>
    </row>
    <row r="33" spans="1:7" ht="15.75" customHeight="1">
      <c r="A33" s="13" t="s">
        <v>38</v>
      </c>
      <c r="B33" s="14" t="s">
        <v>39</v>
      </c>
      <c r="C33" s="15" t="s">
        <v>40</v>
      </c>
      <c r="D33" s="15" t="s">
        <v>41</v>
      </c>
      <c r="E33" s="12"/>
    </row>
    <row r="34" spans="1:7" ht="15.75" customHeight="1"/>
    <row r="35" spans="1:7" ht="15.75" customHeight="1">
      <c r="A35" s="16"/>
      <c r="B35" s="17" t="s">
        <v>42</v>
      </c>
      <c r="C35" s="17" t="s">
        <v>43</v>
      </c>
      <c r="D35" s="17" t="s">
        <v>44</v>
      </c>
      <c r="E35" s="17" t="s">
        <v>45</v>
      </c>
      <c r="F35" s="17" t="s">
        <v>46</v>
      </c>
      <c r="G35" s="17" t="s">
        <v>47</v>
      </c>
    </row>
    <row r="36" spans="1:7" ht="15.75" customHeight="1">
      <c r="A36" s="11" t="s">
        <v>48</v>
      </c>
      <c r="B36" s="11" t="s">
        <v>49</v>
      </c>
      <c r="D36" s="11" t="s">
        <v>50</v>
      </c>
      <c r="F36" s="11" t="s">
        <v>49</v>
      </c>
    </row>
    <row r="37" spans="1:7" ht="15.75" customHeight="1">
      <c r="A37" s="11" t="s">
        <v>51</v>
      </c>
      <c r="B37" s="11" t="s">
        <v>49</v>
      </c>
      <c r="C37" s="18">
        <v>1.7509999999999999</v>
      </c>
      <c r="D37" s="11" t="s">
        <v>52</v>
      </c>
      <c r="E37" s="11" t="s">
        <v>49</v>
      </c>
      <c r="F37" s="11" t="s">
        <v>49</v>
      </c>
      <c r="G37" s="11" t="s">
        <v>49</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G1000"/>
  <sheetViews>
    <sheetView topLeftCell="A20" workbookViewId="0">
      <selection activeCell="D32" sqref="D32"/>
    </sheetView>
  </sheetViews>
  <sheetFormatPr baseColWidth="10" defaultColWidth="14.453125" defaultRowHeight="15" customHeight="1"/>
  <cols>
    <col min="1" max="1" width="45" customWidth="1"/>
    <col min="2" max="5" width="14" customWidth="1"/>
    <col min="6" max="6" width="8.7265625" customWidth="1"/>
  </cols>
  <sheetData>
    <row r="1" spans="1:5" ht="14.5">
      <c r="A1" s="50" t="s">
        <v>315</v>
      </c>
      <c r="B1" s="50" t="s">
        <v>317</v>
      </c>
      <c r="C1" s="1"/>
      <c r="D1" s="1"/>
      <c r="E1" s="1"/>
    </row>
    <row r="2" spans="1:5" ht="87">
      <c r="A2" s="1" t="s">
        <v>53</v>
      </c>
      <c r="B2" s="49" t="s">
        <v>306</v>
      </c>
      <c r="C2" s="1"/>
      <c r="D2" s="1"/>
      <c r="E2" s="1"/>
    </row>
    <row r="3" spans="1:5" ht="14.5"/>
    <row r="4" spans="1:5" ht="14.5">
      <c r="A4" s="50" t="s">
        <v>100</v>
      </c>
      <c r="B4" s="1" t="s">
        <v>54</v>
      </c>
      <c r="C4" s="1" t="s">
        <v>55</v>
      </c>
      <c r="D4" s="1" t="s">
        <v>56</v>
      </c>
      <c r="E4" s="1" t="s">
        <v>57</v>
      </c>
    </row>
    <row r="5" spans="1:5" ht="15.75" customHeight="1">
      <c r="A5" s="1"/>
      <c r="B5" s="1"/>
      <c r="C5" s="1"/>
      <c r="D5" s="1"/>
      <c r="E5" s="1"/>
    </row>
    <row r="6" spans="1:5" ht="15.75" customHeight="1">
      <c r="A6" s="3" t="s">
        <v>6</v>
      </c>
      <c r="B6" s="3" t="s">
        <v>7</v>
      </c>
      <c r="C6" s="3" t="s">
        <v>8</v>
      </c>
      <c r="D6" s="3" t="s">
        <v>9</v>
      </c>
      <c r="E6" s="3" t="s">
        <v>10</v>
      </c>
    </row>
    <row r="7" spans="1:5" ht="15.75" customHeight="1">
      <c r="A7" s="5" t="s">
        <v>11</v>
      </c>
      <c r="B7" s="73">
        <v>8555</v>
      </c>
      <c r="C7" s="73">
        <v>7889</v>
      </c>
      <c r="D7" s="73">
        <v>7118</v>
      </c>
      <c r="E7" s="73">
        <v>6462</v>
      </c>
    </row>
    <row r="8" spans="1:5" ht="15.75" customHeight="1">
      <c r="A8" s="5" t="s">
        <v>12</v>
      </c>
      <c r="B8" s="73">
        <v>36254</v>
      </c>
      <c r="C8" s="73">
        <v>43567</v>
      </c>
      <c r="D8" s="73">
        <v>44627</v>
      </c>
      <c r="E8" s="73">
        <v>41860</v>
      </c>
    </row>
    <row r="9" spans="1:5" ht="15.75" customHeight="1">
      <c r="A9" s="5" t="s">
        <v>13</v>
      </c>
      <c r="B9" s="73">
        <v>45959</v>
      </c>
      <c r="C9" s="73">
        <v>54652</v>
      </c>
      <c r="D9" s="73">
        <v>53173</v>
      </c>
      <c r="E9" s="73">
        <v>50176</v>
      </c>
    </row>
    <row r="10" spans="1:5" ht="15.75" customHeight="1">
      <c r="A10" s="5" t="s">
        <v>14</v>
      </c>
      <c r="B10" s="73">
        <v>17009</v>
      </c>
      <c r="C10" s="73">
        <v>18815</v>
      </c>
      <c r="D10" s="73">
        <v>17744</v>
      </c>
      <c r="E10" s="73">
        <v>17747</v>
      </c>
    </row>
    <row r="11" spans="1:5" ht="15.75" customHeight="1">
      <c r="A11" s="5" t="s">
        <v>15</v>
      </c>
      <c r="B11" s="73">
        <v>17956</v>
      </c>
      <c r="C11" s="73">
        <v>17779</v>
      </c>
      <c r="D11" s="73">
        <v>15789</v>
      </c>
      <c r="E11" s="73">
        <v>14287</v>
      </c>
    </row>
    <row r="12" spans="1:5" ht="15.75" customHeight="1">
      <c r="A12" s="5" t="s">
        <v>16</v>
      </c>
      <c r="B12" s="73">
        <v>44428</v>
      </c>
      <c r="C12" s="73">
        <v>51384</v>
      </c>
      <c r="D12" s="73">
        <v>45955</v>
      </c>
      <c r="E12" s="73">
        <v>46902</v>
      </c>
    </row>
    <row r="13" spans="1:5" ht="15.75" customHeight="1">
      <c r="A13" s="5" t="s">
        <v>17</v>
      </c>
      <c r="B13" s="73">
        <v>7981</v>
      </c>
      <c r="C13" s="73">
        <v>8705</v>
      </c>
      <c r="D13" s="73">
        <v>6679</v>
      </c>
      <c r="E13" s="73">
        <v>6108</v>
      </c>
    </row>
    <row r="14" spans="1:5" ht="15.75" customHeight="1">
      <c r="A14" s="5" t="s">
        <v>18</v>
      </c>
      <c r="B14" s="73">
        <v>2186</v>
      </c>
      <c r="C14" s="73">
        <v>2443</v>
      </c>
      <c r="D14" s="73">
        <v>868</v>
      </c>
      <c r="E14" s="73">
        <v>-84</v>
      </c>
    </row>
    <row r="15" spans="1:5" ht="15.75" customHeight="1">
      <c r="A15" s="5" t="s">
        <v>19</v>
      </c>
      <c r="B15" s="73">
        <v>2656</v>
      </c>
      <c r="C15" s="73">
        <v>3017</v>
      </c>
      <c r="D15" s="73">
        <v>1571</v>
      </c>
      <c r="E15" s="73">
        <v>1193</v>
      </c>
    </row>
    <row r="16" spans="1:5" ht="15.75" customHeight="1">
      <c r="A16" s="5" t="s">
        <v>20</v>
      </c>
      <c r="B16" s="73">
        <v>3818</v>
      </c>
      <c r="C16" s="73">
        <v>4437</v>
      </c>
      <c r="D16" s="73">
        <v>2705</v>
      </c>
      <c r="E16" s="73">
        <v>2166</v>
      </c>
    </row>
    <row r="17" spans="1:5" ht="15.75" customHeight="1">
      <c r="A17" s="5" t="s">
        <v>21</v>
      </c>
      <c r="B17" s="73">
        <v>1598</v>
      </c>
      <c r="C17" s="73">
        <v>1809</v>
      </c>
      <c r="D17" s="73">
        <v>36</v>
      </c>
      <c r="E17" s="73">
        <v>7</v>
      </c>
    </row>
    <row r="18" spans="1:5" ht="15.75" customHeight="1">
      <c r="A18" s="5" t="s">
        <v>22</v>
      </c>
      <c r="B18" s="73">
        <v>0.09</v>
      </c>
      <c r="C18" s="73">
        <v>7.0000000000000007E-2</v>
      </c>
      <c r="D18" s="73">
        <v>1.84</v>
      </c>
      <c r="E18" s="73">
        <v>10.08</v>
      </c>
    </row>
    <row r="19" spans="1:5" ht="15.75" customHeight="1">
      <c r="A19" s="5" t="s">
        <v>23</v>
      </c>
      <c r="B19" s="73">
        <v>0</v>
      </c>
      <c r="C19" s="73">
        <v>150</v>
      </c>
      <c r="D19" s="73">
        <v>0</v>
      </c>
      <c r="E19" s="73">
        <v>0</v>
      </c>
    </row>
    <row r="20" spans="1:5" ht="15.75" customHeight="1">
      <c r="A20" s="5" t="s">
        <v>24</v>
      </c>
      <c r="B20" s="73">
        <v>1848</v>
      </c>
      <c r="C20" s="73">
        <v>2248</v>
      </c>
      <c r="D20" s="73">
        <v>1470</v>
      </c>
      <c r="E20" s="73">
        <v>1631</v>
      </c>
    </row>
    <row r="21" spans="1:5" ht="15.75" customHeight="1">
      <c r="A21" s="5" t="s">
        <v>25</v>
      </c>
      <c r="B21" s="73">
        <v>2175</v>
      </c>
      <c r="C21" s="73">
        <v>2000</v>
      </c>
      <c r="D21" s="73">
        <v>1000</v>
      </c>
      <c r="E21" s="73">
        <v>1065</v>
      </c>
    </row>
    <row r="22" spans="1:5" ht="15.75" customHeight="1">
      <c r="A22" s="5" t="s">
        <v>26</v>
      </c>
      <c r="B22" s="71"/>
      <c r="C22" s="71"/>
      <c r="D22" s="71"/>
      <c r="E22" s="71"/>
    </row>
    <row r="23" spans="1:5" ht="15.75" customHeight="1">
      <c r="A23" s="5" t="s">
        <v>27</v>
      </c>
      <c r="B23" s="71"/>
      <c r="C23" s="73">
        <v>1104</v>
      </c>
      <c r="D23" s="71"/>
      <c r="E23" s="71"/>
    </row>
    <row r="24" spans="1:5" ht="15.75" customHeight="1"/>
    <row r="25" spans="1:5" ht="15.75" customHeight="1">
      <c r="A25" s="3" t="s">
        <v>28</v>
      </c>
      <c r="B25" s="3" t="s">
        <v>29</v>
      </c>
    </row>
    <row r="26" spans="1:5" ht="15.75" customHeight="1">
      <c r="A26" s="4" t="s">
        <v>58</v>
      </c>
      <c r="B26" s="19">
        <v>0.6</v>
      </c>
    </row>
    <row r="27" spans="1:5" ht="15.75" customHeight="1">
      <c r="A27" s="4" t="s">
        <v>31</v>
      </c>
      <c r="B27" s="19">
        <v>0.35</v>
      </c>
    </row>
    <row r="28" spans="1:5" ht="15.75" customHeight="1">
      <c r="A28" s="4" t="s">
        <v>59</v>
      </c>
      <c r="B28" s="19">
        <v>0.05</v>
      </c>
    </row>
    <row r="29" spans="1:5" ht="15.75" customHeight="1"/>
    <row r="30" spans="1:5" ht="15.75" customHeight="1">
      <c r="A30" s="53" t="s">
        <v>33</v>
      </c>
    </row>
    <row r="31" spans="1:5" ht="15.75" customHeight="1"/>
    <row r="32" spans="1:5" ht="15.75" customHeight="1">
      <c r="A32" s="12" t="s">
        <v>34</v>
      </c>
      <c r="B32" s="12" t="s">
        <v>35</v>
      </c>
      <c r="C32" s="12" t="s">
        <v>36</v>
      </c>
      <c r="D32" s="12" t="s">
        <v>341</v>
      </c>
      <c r="E32" s="12"/>
    </row>
    <row r="33" spans="1:7" ht="15.75" customHeight="1">
      <c r="A33" s="15" t="s">
        <v>60</v>
      </c>
      <c r="B33" s="14" t="s">
        <v>61</v>
      </c>
      <c r="C33" s="15" t="s">
        <v>62</v>
      </c>
      <c r="D33" s="15" t="s">
        <v>63</v>
      </c>
      <c r="E33" s="12"/>
    </row>
    <row r="34" spans="1:7" ht="15.75" customHeight="1"/>
    <row r="35" spans="1:7" ht="15.75" customHeight="1">
      <c r="A35" s="16"/>
      <c r="B35" s="17" t="s">
        <v>42</v>
      </c>
      <c r="C35" s="17" t="s">
        <v>43</v>
      </c>
      <c r="D35" s="17" t="s">
        <v>44</v>
      </c>
      <c r="E35" s="17" t="s">
        <v>45</v>
      </c>
      <c r="F35" s="17" t="s">
        <v>46</v>
      </c>
      <c r="G35" s="17" t="s">
        <v>47</v>
      </c>
    </row>
    <row r="36" spans="1:7" ht="15.75" customHeight="1">
      <c r="A36" s="11" t="s">
        <v>48</v>
      </c>
      <c r="B36" s="11">
        <v>11207.24</v>
      </c>
      <c r="D36" s="11">
        <v>21665.8</v>
      </c>
      <c r="F36" s="11">
        <v>31832.807000000001</v>
      </c>
    </row>
    <row r="37" spans="1:7" ht="15.75" customHeight="1">
      <c r="A37" s="11" t="s">
        <v>51</v>
      </c>
      <c r="B37" s="11">
        <v>16.146999999999998</v>
      </c>
      <c r="C37" s="20">
        <v>1.21</v>
      </c>
      <c r="D37" s="11">
        <v>-139.56899999999999</v>
      </c>
      <c r="E37" s="20">
        <v>-0.63</v>
      </c>
      <c r="F37" s="11">
        <v>-157.02600000000001</v>
      </c>
      <c r="G37" s="20">
        <v>-3.97</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H1000"/>
  <sheetViews>
    <sheetView topLeftCell="A11" zoomScale="80" zoomScaleNormal="80" workbookViewId="0">
      <selection activeCell="D32" sqref="D32"/>
    </sheetView>
  </sheetViews>
  <sheetFormatPr baseColWidth="10" defaultColWidth="14.453125" defaultRowHeight="15" customHeight="1"/>
  <cols>
    <col min="1" max="1" width="78.90625" customWidth="1"/>
    <col min="2" max="5" width="14" customWidth="1"/>
    <col min="6" max="7" width="8.7265625" customWidth="1"/>
  </cols>
  <sheetData>
    <row r="1" spans="1:7" ht="87" customHeight="1">
      <c r="A1" s="53" t="s">
        <v>315</v>
      </c>
      <c r="B1" s="53" t="s">
        <v>317</v>
      </c>
    </row>
    <row r="2" spans="1:7" ht="58">
      <c r="A2" s="1" t="s">
        <v>64</v>
      </c>
      <c r="B2" s="49" t="s">
        <v>307</v>
      </c>
      <c r="C2" s="1"/>
      <c r="D2" s="1"/>
      <c r="E2" s="1"/>
    </row>
    <row r="3" spans="1:7" ht="14.5"/>
    <row r="4" spans="1:7" ht="14.5">
      <c r="A4" s="50" t="s">
        <v>100</v>
      </c>
      <c r="B4" s="21">
        <v>22070400</v>
      </c>
      <c r="C4" s="21">
        <v>22070400</v>
      </c>
      <c r="D4" s="21">
        <v>22070400</v>
      </c>
      <c r="E4" s="21">
        <v>22070400</v>
      </c>
      <c r="F4" s="48"/>
      <c r="G4" s="48"/>
    </row>
    <row r="5" spans="1:7" ht="14.5">
      <c r="A5" s="47"/>
      <c r="B5" s="47"/>
      <c r="C5" s="47"/>
      <c r="D5" s="47"/>
      <c r="E5" s="47"/>
      <c r="F5" s="48"/>
      <c r="G5" s="48"/>
    </row>
    <row r="6" spans="1:7" ht="14.5">
      <c r="A6" s="3" t="s">
        <v>6</v>
      </c>
      <c r="B6" s="3" t="s">
        <v>7</v>
      </c>
      <c r="C6" s="3" t="s">
        <v>8</v>
      </c>
      <c r="D6" s="3" t="s">
        <v>9</v>
      </c>
      <c r="E6" s="22">
        <v>2024</v>
      </c>
      <c r="F6" s="48"/>
      <c r="G6" s="23"/>
    </row>
    <row r="7" spans="1:7" ht="15.75" customHeight="1">
      <c r="A7" s="24" t="s">
        <v>11</v>
      </c>
      <c r="B7" s="24">
        <v>68012</v>
      </c>
      <c r="C7" s="24">
        <v>68801</v>
      </c>
      <c r="D7" s="24">
        <v>72950</v>
      </c>
      <c r="E7" s="24">
        <v>81722</v>
      </c>
      <c r="F7" s="48"/>
      <c r="G7" s="48"/>
    </row>
    <row r="8" spans="1:7" ht="15.75" customHeight="1">
      <c r="A8" s="24" t="s">
        <v>12</v>
      </c>
      <c r="B8" s="24" t="s">
        <v>65</v>
      </c>
      <c r="C8" s="24" t="s">
        <v>65</v>
      </c>
      <c r="D8" s="24" t="s">
        <v>65</v>
      </c>
      <c r="E8" s="24" t="s">
        <v>65</v>
      </c>
      <c r="F8" s="48"/>
      <c r="G8" s="48"/>
    </row>
    <row r="9" spans="1:7" ht="15.75" customHeight="1">
      <c r="A9" s="24" t="s">
        <v>13</v>
      </c>
      <c r="B9" s="24">
        <v>145821</v>
      </c>
      <c r="C9" s="24">
        <v>173974</v>
      </c>
      <c r="D9" s="24">
        <v>170341</v>
      </c>
      <c r="E9" s="24">
        <v>177852</v>
      </c>
      <c r="F9" s="48"/>
      <c r="G9" s="48"/>
    </row>
    <row r="10" spans="1:7" ht="15.75" customHeight="1">
      <c r="A10" s="24" t="s">
        <v>14</v>
      </c>
      <c r="B10" s="24">
        <v>32302</v>
      </c>
      <c r="C10" s="24">
        <v>28960</v>
      </c>
      <c r="D10" s="24">
        <v>27662</v>
      </c>
      <c r="E10" s="24">
        <v>29259</v>
      </c>
      <c r="F10" s="48"/>
      <c r="G10" s="48"/>
    </row>
    <row r="11" spans="1:7" ht="15.75" customHeight="1">
      <c r="A11" s="24" t="s">
        <v>15</v>
      </c>
      <c r="B11" s="24">
        <v>56509</v>
      </c>
      <c r="C11" s="24">
        <v>66047</v>
      </c>
      <c r="D11" s="24">
        <v>59843</v>
      </c>
      <c r="E11" s="24">
        <v>62641</v>
      </c>
      <c r="F11" s="48"/>
      <c r="G11" s="48"/>
    </row>
    <row r="12" spans="1:7" ht="15.75" customHeight="1">
      <c r="A12" s="24" t="s">
        <v>16</v>
      </c>
      <c r="B12" s="24">
        <v>173225</v>
      </c>
      <c r="C12" s="24">
        <v>195188</v>
      </c>
      <c r="D12" s="24">
        <v>206734</v>
      </c>
      <c r="E12" s="24">
        <v>203618</v>
      </c>
      <c r="F12" s="48"/>
      <c r="G12" s="48"/>
    </row>
    <row r="13" spans="1:7" ht="15.75" customHeight="1">
      <c r="A13" s="24" t="s">
        <v>17</v>
      </c>
      <c r="B13" s="24" t="s">
        <v>65</v>
      </c>
      <c r="C13" s="24" t="s">
        <v>65</v>
      </c>
      <c r="D13" s="24" t="s">
        <v>65</v>
      </c>
      <c r="E13" s="24" t="s">
        <v>65</v>
      </c>
      <c r="F13" s="48"/>
      <c r="G13" s="48"/>
    </row>
    <row r="14" spans="1:7" ht="15.75" customHeight="1">
      <c r="A14" s="24" t="s">
        <v>18</v>
      </c>
      <c r="B14" s="24">
        <v>29241</v>
      </c>
      <c r="C14" s="24">
        <v>25131</v>
      </c>
      <c r="D14" s="24">
        <v>24962</v>
      </c>
      <c r="E14" s="24">
        <v>35277</v>
      </c>
      <c r="F14" s="48"/>
      <c r="G14" s="48"/>
    </row>
    <row r="15" spans="1:7" ht="15.75" customHeight="1">
      <c r="A15" s="24" t="s">
        <v>19</v>
      </c>
      <c r="B15" s="24">
        <v>32777</v>
      </c>
      <c r="C15" s="24">
        <v>29120</v>
      </c>
      <c r="D15" s="24">
        <v>30164</v>
      </c>
      <c r="E15" s="24">
        <v>35277</v>
      </c>
      <c r="F15" s="48"/>
      <c r="G15" s="48"/>
    </row>
    <row r="16" spans="1:7" ht="15.75" customHeight="1">
      <c r="A16" s="24" t="s">
        <v>20</v>
      </c>
      <c r="B16" s="24">
        <v>38670</v>
      </c>
      <c r="C16" s="24">
        <v>29084</v>
      </c>
      <c r="D16" s="24">
        <v>34264</v>
      </c>
      <c r="E16" s="24">
        <v>43543</v>
      </c>
      <c r="F16" s="48"/>
      <c r="G16" s="48"/>
    </row>
    <row r="17" spans="1:8" ht="15.75" customHeight="1">
      <c r="A17" s="24" t="s">
        <v>21</v>
      </c>
      <c r="B17" s="24">
        <v>21268</v>
      </c>
      <c r="C17" s="24">
        <v>16627</v>
      </c>
      <c r="D17" s="24">
        <v>16557</v>
      </c>
      <c r="E17" s="24">
        <v>18150</v>
      </c>
      <c r="F17" s="48"/>
      <c r="G17" s="48"/>
    </row>
    <row r="18" spans="1:8" ht="15.75" customHeight="1">
      <c r="A18" s="24" t="s">
        <v>22</v>
      </c>
      <c r="B18" s="24">
        <v>4.8</v>
      </c>
      <c r="C18" s="24">
        <v>10.9</v>
      </c>
      <c r="D18" s="24">
        <v>9.8000000000000007</v>
      </c>
      <c r="E18" s="24">
        <v>9.6999999999999993</v>
      </c>
      <c r="F18" s="48"/>
      <c r="G18" s="48"/>
    </row>
    <row r="19" spans="1:8" ht="15.75" customHeight="1">
      <c r="A19" s="24" t="s">
        <v>23</v>
      </c>
      <c r="B19" s="25">
        <f>(B23*1000000*0.9)/B4</f>
        <v>856.79915180513262</v>
      </c>
      <c r="C19" s="24">
        <v>728</v>
      </c>
      <c r="D19" s="24">
        <v>675</v>
      </c>
      <c r="E19" s="24">
        <v>722</v>
      </c>
      <c r="F19" s="48"/>
      <c r="G19" s="48"/>
    </row>
    <row r="20" spans="1:8" ht="15.75" customHeight="1">
      <c r="A20" s="24" t="s">
        <v>24</v>
      </c>
      <c r="B20" s="24">
        <v>32061</v>
      </c>
      <c r="C20" s="24">
        <v>32052</v>
      </c>
      <c r="D20" s="24">
        <v>32072</v>
      </c>
      <c r="E20" s="24">
        <v>32091</v>
      </c>
      <c r="F20" s="48"/>
      <c r="G20" s="48"/>
    </row>
    <row r="21" spans="1:8" ht="15.75" customHeight="1">
      <c r="A21" s="24" t="s">
        <v>25</v>
      </c>
      <c r="B21" s="11">
        <v>4605</v>
      </c>
      <c r="C21" s="11">
        <v>8245</v>
      </c>
      <c r="D21" s="11">
        <v>7385</v>
      </c>
      <c r="E21" s="11">
        <v>7960</v>
      </c>
      <c r="F21" s="48"/>
      <c r="G21" s="48"/>
    </row>
    <row r="22" spans="1:8" ht="15.75" customHeight="1">
      <c r="A22" s="24" t="s">
        <v>26</v>
      </c>
      <c r="B22" s="24" t="s">
        <v>65</v>
      </c>
      <c r="C22" s="24" t="s">
        <v>65</v>
      </c>
      <c r="D22" s="24" t="s">
        <v>65</v>
      </c>
      <c r="E22" s="24" t="s">
        <v>65</v>
      </c>
      <c r="F22" s="48"/>
      <c r="G22" s="48"/>
    </row>
    <row r="23" spans="1:8" ht="15.75" customHeight="1">
      <c r="A23" s="24" t="s">
        <v>27</v>
      </c>
      <c r="B23" s="24">
        <v>21011</v>
      </c>
      <c r="C23" s="24">
        <v>17855</v>
      </c>
      <c r="D23" s="24">
        <v>16553</v>
      </c>
      <c r="E23" s="24">
        <v>18098</v>
      </c>
      <c r="F23" s="48"/>
      <c r="G23" s="48"/>
      <c r="H23" s="17"/>
    </row>
    <row r="24" spans="1:8" ht="15.75" customHeight="1">
      <c r="A24" s="47"/>
      <c r="B24" s="48"/>
      <c r="C24" s="48"/>
      <c r="D24" s="48"/>
      <c r="E24" s="48"/>
      <c r="F24" s="48"/>
      <c r="G24" s="48"/>
      <c r="H24" s="17"/>
    </row>
    <row r="25" spans="1:8" ht="15.75" customHeight="1">
      <c r="A25" s="9" t="s">
        <v>28</v>
      </c>
      <c r="B25" s="9" t="s">
        <v>29</v>
      </c>
      <c r="C25" s="48"/>
      <c r="D25" s="45"/>
      <c r="E25" s="45"/>
      <c r="F25" s="45"/>
      <c r="G25" s="45"/>
    </row>
    <row r="26" spans="1:8" ht="15.75" customHeight="1">
      <c r="A26" s="9" t="s">
        <v>66</v>
      </c>
      <c r="B26" s="10">
        <v>0.73919999999999997</v>
      </c>
      <c r="C26" s="48"/>
      <c r="D26" s="45"/>
      <c r="E26" s="45"/>
      <c r="F26" s="45"/>
      <c r="G26" s="45"/>
    </row>
    <row r="27" spans="1:8" ht="15.75" customHeight="1">
      <c r="A27" s="9" t="s">
        <v>31</v>
      </c>
      <c r="B27" s="10">
        <v>0.19139999999999999</v>
      </c>
      <c r="C27" s="48"/>
      <c r="D27" s="48"/>
      <c r="E27" s="48"/>
      <c r="F27" s="48"/>
      <c r="G27" s="48"/>
    </row>
    <row r="28" spans="1:8" ht="15.75" customHeight="1">
      <c r="A28" s="9" t="s">
        <v>67</v>
      </c>
      <c r="B28" s="10">
        <v>6.9400000000000003E-2</v>
      </c>
      <c r="C28" s="48"/>
      <c r="D28" s="48"/>
      <c r="E28" s="48"/>
      <c r="F28" s="48"/>
      <c r="G28" s="48"/>
    </row>
    <row r="29" spans="1:8" ht="15.75" customHeight="1">
      <c r="A29" s="48"/>
      <c r="B29" s="48"/>
      <c r="C29" s="48"/>
      <c r="D29" s="48"/>
      <c r="E29" s="48"/>
      <c r="F29" s="48"/>
      <c r="G29" s="48"/>
    </row>
    <row r="30" spans="1:8" ht="15.75" customHeight="1">
      <c r="A30" s="53" t="s">
        <v>33</v>
      </c>
      <c r="B30" s="48"/>
      <c r="C30" s="48"/>
      <c r="D30" s="48"/>
      <c r="E30" s="48"/>
      <c r="F30" s="48"/>
      <c r="G30" s="48"/>
    </row>
    <row r="31" spans="1:8" ht="15.75" customHeight="1">
      <c r="A31" s="48"/>
      <c r="B31" s="48"/>
      <c r="C31" s="48"/>
      <c r="D31" s="48"/>
      <c r="E31" s="48"/>
      <c r="F31" s="48"/>
      <c r="G31" s="48"/>
    </row>
    <row r="32" spans="1:8" ht="15.75" customHeight="1">
      <c r="A32" s="33" t="s">
        <v>34</v>
      </c>
      <c r="B32" s="33" t="s">
        <v>35</v>
      </c>
      <c r="C32" s="33" t="s">
        <v>36</v>
      </c>
      <c r="D32" s="33" t="s">
        <v>341</v>
      </c>
      <c r="E32" s="33"/>
      <c r="F32" s="48"/>
      <c r="G32" s="48"/>
    </row>
    <row r="33" spans="1:7" ht="15.75" customHeight="1">
      <c r="A33" s="13" t="s">
        <v>68</v>
      </c>
      <c r="B33" s="14" t="s">
        <v>69</v>
      </c>
      <c r="C33" s="15" t="s">
        <v>70</v>
      </c>
      <c r="D33" s="15" t="s">
        <v>71</v>
      </c>
      <c r="E33" s="33"/>
      <c r="F33" s="48"/>
      <c r="G33" s="48"/>
    </row>
    <row r="34" spans="1:7" ht="15.75" customHeight="1">
      <c r="A34" s="48"/>
      <c r="B34" s="48"/>
      <c r="C34" s="48"/>
      <c r="D34" s="48"/>
      <c r="E34" s="48"/>
      <c r="F34" s="48"/>
      <c r="G34" s="48"/>
    </row>
    <row r="35" spans="1:7" ht="15.75" customHeight="1">
      <c r="A35" s="45"/>
      <c r="B35" s="45" t="s">
        <v>42</v>
      </c>
      <c r="C35" s="45" t="s">
        <v>43</v>
      </c>
      <c r="D35" s="45" t="s">
        <v>44</v>
      </c>
      <c r="E35" s="45" t="s">
        <v>45</v>
      </c>
      <c r="F35" s="45" t="s">
        <v>46</v>
      </c>
      <c r="G35" s="45" t="s">
        <v>47</v>
      </c>
    </row>
    <row r="36" spans="1:7" ht="15.75" customHeight="1">
      <c r="A36" s="11" t="s">
        <v>48</v>
      </c>
      <c r="B36" s="11">
        <v>54079.13</v>
      </c>
      <c r="C36" s="48"/>
      <c r="D36" s="11">
        <v>116.437</v>
      </c>
      <c r="E36" s="48"/>
      <c r="F36" s="11">
        <v>173.40600000000001</v>
      </c>
      <c r="G36" s="48"/>
    </row>
    <row r="37" spans="1:7" ht="15.75" customHeight="1">
      <c r="A37" s="11" t="s">
        <v>51</v>
      </c>
      <c r="B37" s="11">
        <v>5479.04</v>
      </c>
      <c r="C37" s="24">
        <f>19%</f>
        <v>0.19</v>
      </c>
      <c r="D37" s="11">
        <v>9.4559999999999995</v>
      </c>
      <c r="E37" s="18">
        <v>-0.23499999999999999</v>
      </c>
      <c r="F37" s="11">
        <v>11.936</v>
      </c>
      <c r="G37" s="18">
        <v>-0.21299999999999999</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H1000"/>
  <sheetViews>
    <sheetView tabSelected="1" topLeftCell="A26" workbookViewId="0">
      <selection activeCell="A30" sqref="A30:G37"/>
    </sheetView>
  </sheetViews>
  <sheetFormatPr baseColWidth="10" defaultColWidth="14.453125" defaultRowHeight="15" customHeight="1"/>
  <cols>
    <col min="1" max="1" width="45" customWidth="1"/>
    <col min="2" max="5" width="14" customWidth="1"/>
    <col min="6" max="6" width="8.7265625" customWidth="1"/>
  </cols>
  <sheetData>
    <row r="1" spans="1:7" ht="14.5">
      <c r="A1" s="53" t="s">
        <v>315</v>
      </c>
      <c r="B1" s="53" t="s">
        <v>317</v>
      </c>
    </row>
    <row r="2" spans="1:7" ht="101.5">
      <c r="A2" s="1" t="s">
        <v>72</v>
      </c>
      <c r="B2" s="49" t="s">
        <v>308</v>
      </c>
      <c r="C2" s="1"/>
      <c r="D2" s="1"/>
      <c r="E2" s="1"/>
    </row>
    <row r="3" spans="1:7" ht="14.5"/>
    <row r="4" spans="1:7" ht="14.5">
      <c r="A4" s="50" t="s">
        <v>100</v>
      </c>
      <c r="B4" s="47" t="s">
        <v>73</v>
      </c>
      <c r="C4" s="47" t="s">
        <v>74</v>
      </c>
      <c r="D4" s="47" t="s">
        <v>75</v>
      </c>
      <c r="E4" s="47" t="s">
        <v>76</v>
      </c>
      <c r="F4" s="48"/>
      <c r="G4" s="48"/>
    </row>
    <row r="5" spans="1:7" ht="14.5">
      <c r="A5" s="47"/>
      <c r="B5" s="47"/>
      <c r="C5" s="47"/>
      <c r="D5" s="47"/>
      <c r="E5" s="47"/>
      <c r="F5" s="48"/>
      <c r="G5" s="48"/>
    </row>
    <row r="6" spans="1:7" ht="14.5">
      <c r="A6" s="3" t="s">
        <v>6</v>
      </c>
      <c r="B6" s="3" t="s">
        <v>7</v>
      </c>
      <c r="C6" s="3" t="s">
        <v>8</v>
      </c>
      <c r="D6" s="3" t="s">
        <v>9</v>
      </c>
      <c r="E6" s="3" t="s">
        <v>10</v>
      </c>
      <c r="F6" s="48"/>
      <c r="G6" s="48"/>
    </row>
    <row r="7" spans="1:7" ht="14.5">
      <c r="A7" s="4" t="s">
        <v>11</v>
      </c>
      <c r="B7" s="24">
        <v>17034</v>
      </c>
      <c r="C7" s="24">
        <v>17771</v>
      </c>
      <c r="D7" s="24">
        <v>13662</v>
      </c>
      <c r="E7" s="24">
        <v>13952</v>
      </c>
      <c r="F7" s="48"/>
      <c r="G7" s="48"/>
    </row>
    <row r="8" spans="1:7" ht="14.5">
      <c r="A8" s="4" t="s">
        <v>12</v>
      </c>
      <c r="B8" s="24">
        <v>50690</v>
      </c>
      <c r="C8" s="24">
        <v>120863</v>
      </c>
      <c r="D8" s="24">
        <v>155055</v>
      </c>
      <c r="E8" s="24">
        <v>134430</v>
      </c>
      <c r="F8" s="48"/>
      <c r="G8" s="48"/>
    </row>
    <row r="9" spans="1:7" ht="14.5">
      <c r="A9" s="4" t="s">
        <v>13</v>
      </c>
      <c r="B9" s="24">
        <v>107352</v>
      </c>
      <c r="C9" s="24">
        <v>164780</v>
      </c>
      <c r="D9" s="24">
        <v>183994</v>
      </c>
      <c r="E9" s="24">
        <v>163113</v>
      </c>
      <c r="F9" s="48"/>
      <c r="G9" s="48"/>
    </row>
    <row r="10" spans="1:7" ht="14.5">
      <c r="A10" s="4" t="s">
        <v>14</v>
      </c>
      <c r="B10" s="24">
        <v>21746</v>
      </c>
      <c r="C10" s="24">
        <v>24932</v>
      </c>
      <c r="D10" s="24">
        <v>35951</v>
      </c>
      <c r="E10" s="24">
        <v>35294</v>
      </c>
      <c r="F10" s="48"/>
      <c r="G10" s="48"/>
    </row>
    <row r="11" spans="1:7" ht="14.5">
      <c r="A11" s="4" t="s">
        <v>15</v>
      </c>
      <c r="B11" s="24">
        <v>78467</v>
      </c>
      <c r="C11" s="24">
        <v>107894</v>
      </c>
      <c r="D11" s="24">
        <v>124945</v>
      </c>
      <c r="E11" s="24">
        <v>117820</v>
      </c>
      <c r="F11" s="48"/>
      <c r="G11" s="48"/>
    </row>
    <row r="12" spans="1:7" ht="14.5">
      <c r="A12" s="4" t="s">
        <v>16</v>
      </c>
      <c r="B12" s="24">
        <v>139353</v>
      </c>
      <c r="C12" s="24">
        <v>276854</v>
      </c>
      <c r="D12" s="24">
        <v>247646</v>
      </c>
      <c r="E12" s="24">
        <v>229061</v>
      </c>
      <c r="F12" s="48"/>
      <c r="G12" s="48"/>
    </row>
    <row r="13" spans="1:7" ht="14.5">
      <c r="A13" s="4" t="s">
        <v>17</v>
      </c>
      <c r="B13" s="24">
        <v>19799</v>
      </c>
      <c r="C13" s="24">
        <v>17768</v>
      </c>
      <c r="D13" s="24">
        <v>37296</v>
      </c>
      <c r="E13" s="24">
        <v>17550</v>
      </c>
      <c r="F13" s="48"/>
      <c r="G13" s="48"/>
    </row>
    <row r="14" spans="1:7" ht="14.5">
      <c r="A14" s="4" t="s">
        <v>18</v>
      </c>
      <c r="B14" s="24">
        <v>12531</v>
      </c>
      <c r="C14" s="24">
        <v>12507</v>
      </c>
      <c r="D14" s="24">
        <v>24931</v>
      </c>
      <c r="E14" s="24">
        <v>12448</v>
      </c>
      <c r="F14" s="48"/>
      <c r="G14" s="48"/>
    </row>
    <row r="15" spans="1:7" ht="14.5">
      <c r="A15" s="4" t="s">
        <v>19</v>
      </c>
      <c r="B15" s="24">
        <v>13649</v>
      </c>
      <c r="C15" s="24">
        <v>13808</v>
      </c>
      <c r="D15" s="24">
        <v>28583</v>
      </c>
      <c r="E15" s="24">
        <v>12036</v>
      </c>
      <c r="F15" s="48"/>
      <c r="G15" s="48"/>
    </row>
    <row r="16" spans="1:7" ht="14.5">
      <c r="A16" s="4" t="s">
        <v>20</v>
      </c>
      <c r="B16" s="24">
        <v>17042</v>
      </c>
      <c r="C16" s="24">
        <v>14390</v>
      </c>
      <c r="D16" s="24">
        <v>30283</v>
      </c>
      <c r="E16" s="24">
        <v>13030</v>
      </c>
      <c r="F16" s="48"/>
      <c r="G16" s="48"/>
    </row>
    <row r="17" spans="1:8" ht="14.5">
      <c r="A17" s="4" t="s">
        <v>21</v>
      </c>
      <c r="B17" s="24">
        <v>8623</v>
      </c>
      <c r="C17" s="24">
        <v>9421</v>
      </c>
      <c r="D17" s="24">
        <v>17248</v>
      </c>
      <c r="E17" s="24">
        <v>8698</v>
      </c>
      <c r="F17" s="48"/>
      <c r="G17" s="48"/>
    </row>
    <row r="18" spans="1:8" ht="14.5">
      <c r="A18" s="4" t="s">
        <v>22</v>
      </c>
      <c r="B18" s="24">
        <v>6.24</v>
      </c>
      <c r="C18" s="24">
        <v>5.63</v>
      </c>
      <c r="D18" s="24">
        <v>4.76</v>
      </c>
      <c r="E18" s="24">
        <v>7.71</v>
      </c>
      <c r="F18" s="48"/>
      <c r="G18" s="48"/>
    </row>
    <row r="19" spans="1:8" ht="14.5">
      <c r="A19" s="4" t="s">
        <v>23</v>
      </c>
      <c r="B19" s="11">
        <v>720</v>
      </c>
      <c r="C19" s="11">
        <v>720</v>
      </c>
      <c r="D19" s="11">
        <v>1080</v>
      </c>
      <c r="E19" s="11">
        <v>616</v>
      </c>
      <c r="F19" s="48"/>
      <c r="G19" s="48"/>
    </row>
    <row r="20" spans="1:8" ht="15.75" customHeight="1">
      <c r="A20" s="4" t="s">
        <v>24</v>
      </c>
      <c r="B20" s="24">
        <v>7084</v>
      </c>
      <c r="C20" s="24">
        <v>5950</v>
      </c>
      <c r="D20" s="24">
        <v>5779</v>
      </c>
      <c r="E20" s="24">
        <v>9835</v>
      </c>
      <c r="F20" s="48"/>
      <c r="G20" s="48"/>
    </row>
    <row r="21" spans="1:8" ht="15.75" customHeight="1">
      <c r="A21" s="4" t="s">
        <v>25</v>
      </c>
      <c r="B21" s="24">
        <v>6900</v>
      </c>
      <c r="C21" s="24">
        <v>6800</v>
      </c>
      <c r="D21" s="24">
        <v>10530</v>
      </c>
      <c r="E21" s="24">
        <v>8605</v>
      </c>
      <c r="F21" s="48"/>
      <c r="G21" s="48"/>
    </row>
    <row r="22" spans="1:8" ht="15.75" customHeight="1">
      <c r="A22" s="4" t="s">
        <v>26</v>
      </c>
      <c r="B22" s="24" t="s">
        <v>65</v>
      </c>
      <c r="C22" s="24" t="s">
        <v>65</v>
      </c>
      <c r="D22" s="24" t="s">
        <v>65</v>
      </c>
      <c r="E22" s="24" t="s">
        <v>65</v>
      </c>
      <c r="F22" s="48"/>
      <c r="G22" s="48"/>
    </row>
    <row r="23" spans="1:8" ht="15.75" customHeight="1">
      <c r="A23" s="24" t="s">
        <v>27</v>
      </c>
      <c r="B23" s="24">
        <v>6236</v>
      </c>
      <c r="C23" s="24">
        <v>6236</v>
      </c>
      <c r="D23" s="24">
        <v>4938</v>
      </c>
      <c r="E23" s="11">
        <v>5457</v>
      </c>
      <c r="F23" s="48"/>
      <c r="G23" s="48"/>
    </row>
    <row r="24" spans="1:8" ht="15.75" customHeight="1">
      <c r="A24" s="47"/>
      <c r="B24" s="48"/>
      <c r="C24" s="48"/>
      <c r="D24" s="48"/>
      <c r="E24" s="48"/>
      <c r="F24" s="48"/>
      <c r="G24" s="48"/>
      <c r="H24" s="17"/>
    </row>
    <row r="25" spans="1:8" ht="15.75" customHeight="1">
      <c r="A25" s="9" t="s">
        <v>28</v>
      </c>
      <c r="B25" s="9" t="s">
        <v>29</v>
      </c>
      <c r="C25" s="48"/>
      <c r="D25" s="48"/>
      <c r="E25" s="48"/>
      <c r="F25" s="48"/>
      <c r="G25" s="48"/>
    </row>
    <row r="26" spans="1:8" ht="15.75" customHeight="1">
      <c r="A26" s="9" t="s">
        <v>77</v>
      </c>
      <c r="B26" s="26" t="s">
        <v>78</v>
      </c>
      <c r="C26" s="48"/>
      <c r="D26" s="45"/>
      <c r="E26" s="45"/>
      <c r="F26" s="45"/>
      <c r="G26" s="45"/>
    </row>
    <row r="27" spans="1:8" ht="15.75" customHeight="1">
      <c r="A27" s="9" t="s">
        <v>31</v>
      </c>
      <c r="B27" s="26" t="s">
        <v>79</v>
      </c>
      <c r="C27" s="48"/>
      <c r="D27" s="48"/>
      <c r="E27" s="48"/>
      <c r="F27" s="48"/>
      <c r="G27" s="48"/>
    </row>
    <row r="28" spans="1:8" ht="15.75" customHeight="1">
      <c r="A28" s="48"/>
      <c r="B28" s="48"/>
      <c r="C28" s="48"/>
      <c r="D28" s="48"/>
      <c r="E28" s="48"/>
      <c r="F28" s="48"/>
      <c r="G28" s="48"/>
    </row>
    <row r="29" spans="1:8" ht="15.75" customHeight="1"/>
    <row r="30" spans="1:8" ht="15.75" customHeight="1">
      <c r="A30" s="53" t="s">
        <v>80</v>
      </c>
      <c r="B30" s="48"/>
      <c r="C30" s="48"/>
      <c r="D30" s="48"/>
      <c r="E30" s="48"/>
      <c r="F30" s="48"/>
      <c r="G30" s="48"/>
    </row>
    <row r="31" spans="1:8" ht="15.75" customHeight="1">
      <c r="A31" s="48"/>
      <c r="B31" s="48"/>
      <c r="C31" s="48"/>
      <c r="D31" s="48"/>
      <c r="E31" s="48"/>
      <c r="F31" s="48"/>
      <c r="G31" s="48"/>
    </row>
    <row r="32" spans="1:8" ht="15.75" customHeight="1">
      <c r="A32" s="33" t="s">
        <v>34</v>
      </c>
      <c r="B32" s="33" t="s">
        <v>35</v>
      </c>
      <c r="C32" s="33" t="s">
        <v>36</v>
      </c>
      <c r="D32" s="33" t="s">
        <v>341</v>
      </c>
      <c r="E32" s="33"/>
      <c r="F32" s="48"/>
      <c r="G32" s="48"/>
    </row>
    <row r="33" spans="1:7" ht="15.75" customHeight="1">
      <c r="A33" s="13" t="s">
        <v>81</v>
      </c>
      <c r="B33" s="14" t="s">
        <v>82</v>
      </c>
      <c r="C33" s="15" t="s">
        <v>83</v>
      </c>
      <c r="D33" s="15" t="s">
        <v>84</v>
      </c>
      <c r="E33" s="33"/>
      <c r="F33" s="48"/>
      <c r="G33" s="48"/>
    </row>
    <row r="34" spans="1:7" ht="15.75" customHeight="1">
      <c r="A34" s="48"/>
      <c r="B34" s="48"/>
      <c r="C34" s="48"/>
      <c r="D34" s="48"/>
      <c r="E34" s="48"/>
      <c r="F34" s="48"/>
      <c r="G34" s="48"/>
    </row>
    <row r="35" spans="1:7" ht="15.75" customHeight="1">
      <c r="A35" s="45"/>
      <c r="B35" s="45" t="s">
        <v>42</v>
      </c>
      <c r="C35" s="45" t="s">
        <v>43</v>
      </c>
      <c r="D35" s="45" t="s">
        <v>44</v>
      </c>
      <c r="E35" s="45" t="s">
        <v>45</v>
      </c>
      <c r="F35" s="45" t="s">
        <v>46</v>
      </c>
      <c r="G35" s="45" t="s">
        <v>47</v>
      </c>
    </row>
    <row r="36" spans="1:7" ht="15.75" customHeight="1">
      <c r="A36" s="11" t="s">
        <v>85</v>
      </c>
      <c r="B36" s="11" t="s">
        <v>86</v>
      </c>
      <c r="C36" s="48"/>
      <c r="D36" s="11" t="s">
        <v>49</v>
      </c>
      <c r="E36" s="48"/>
      <c r="F36" s="11" t="s">
        <v>49</v>
      </c>
      <c r="G36" s="48"/>
    </row>
    <row r="37" spans="1:7" ht="15.75" customHeight="1">
      <c r="A37" s="11" t="s">
        <v>51</v>
      </c>
      <c r="B37" s="11" t="s">
        <v>87</v>
      </c>
      <c r="C37" s="20">
        <v>-7.0000000000000007E-2</v>
      </c>
      <c r="D37" s="11" t="s">
        <v>49</v>
      </c>
      <c r="E37" s="11" t="s">
        <v>49</v>
      </c>
      <c r="F37" s="11" t="s">
        <v>49</v>
      </c>
      <c r="G37" s="11" t="s">
        <v>49</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J1000"/>
  <sheetViews>
    <sheetView topLeftCell="A19" workbookViewId="0">
      <selection activeCell="D33" sqref="D33"/>
    </sheetView>
  </sheetViews>
  <sheetFormatPr baseColWidth="10" defaultColWidth="14.453125" defaultRowHeight="15" customHeight="1"/>
  <cols>
    <col min="1" max="1" width="45" customWidth="1"/>
    <col min="2" max="5" width="14" customWidth="1"/>
    <col min="6" max="6" width="8.7265625" customWidth="1"/>
  </cols>
  <sheetData>
    <row r="1" spans="1:5" ht="14.5">
      <c r="A1" s="53" t="s">
        <v>315</v>
      </c>
      <c r="B1" s="53" t="s">
        <v>317</v>
      </c>
    </row>
    <row r="2" spans="1:5" ht="101.5">
      <c r="A2" s="1" t="s">
        <v>88</v>
      </c>
      <c r="B2" s="49" t="s">
        <v>309</v>
      </c>
      <c r="C2" s="1"/>
      <c r="D2" s="1"/>
      <c r="E2" s="1"/>
    </row>
    <row r="3" spans="1:5" ht="14.5"/>
    <row r="4" spans="1:5" ht="15.75" customHeight="1">
      <c r="A4" s="50" t="s">
        <v>100</v>
      </c>
      <c r="B4" s="1" t="s">
        <v>89</v>
      </c>
      <c r="C4" s="1" t="s">
        <v>90</v>
      </c>
      <c r="D4" s="1" t="s">
        <v>91</v>
      </c>
      <c r="E4" s="1" t="s">
        <v>92</v>
      </c>
    </row>
    <row r="5" spans="1:5" ht="15.75" customHeight="1">
      <c r="A5" s="1"/>
      <c r="B5" s="1"/>
      <c r="C5" s="1"/>
      <c r="D5" s="1"/>
      <c r="E5" s="1"/>
    </row>
    <row r="6" spans="1:5" ht="15.75" customHeight="1">
      <c r="A6" s="22" t="s">
        <v>6</v>
      </c>
      <c r="B6" s="22">
        <v>2021</v>
      </c>
      <c r="C6" s="22">
        <v>2022</v>
      </c>
      <c r="D6" s="22">
        <v>2023</v>
      </c>
      <c r="E6" s="22">
        <v>2024</v>
      </c>
    </row>
    <row r="7" spans="1:5" ht="15.75" customHeight="1">
      <c r="A7" s="24" t="s">
        <v>11</v>
      </c>
      <c r="B7" s="24">
        <v>13263</v>
      </c>
      <c r="C7" s="24">
        <v>9484</v>
      </c>
      <c r="D7" s="24">
        <v>9695</v>
      </c>
      <c r="E7" s="24">
        <v>9683</v>
      </c>
    </row>
    <row r="8" spans="1:5" ht="15.75" customHeight="1">
      <c r="A8" s="24" t="s">
        <v>12</v>
      </c>
      <c r="B8" s="24">
        <v>80220</v>
      </c>
      <c r="C8" s="24">
        <v>15401</v>
      </c>
      <c r="D8" s="24">
        <v>18550</v>
      </c>
      <c r="E8" s="24">
        <v>36473</v>
      </c>
    </row>
    <row r="9" spans="1:5" ht="15.75" customHeight="1">
      <c r="A9" s="24" t="s">
        <v>13</v>
      </c>
      <c r="B9" s="24">
        <v>37826</v>
      </c>
      <c r="C9" s="24">
        <v>31612</v>
      </c>
      <c r="D9" s="24">
        <v>35417</v>
      </c>
      <c r="E9" s="24">
        <v>94360</v>
      </c>
    </row>
    <row r="10" spans="1:5" ht="15.75" customHeight="1">
      <c r="A10" s="24" t="s">
        <v>14</v>
      </c>
      <c r="B10" s="24">
        <v>16464</v>
      </c>
      <c r="C10" s="24">
        <v>19181</v>
      </c>
      <c r="D10" s="24">
        <v>21180</v>
      </c>
      <c r="E10" s="24">
        <v>52381</v>
      </c>
    </row>
    <row r="11" spans="1:5" ht="15.75" customHeight="1">
      <c r="A11" s="24" t="s">
        <v>15</v>
      </c>
      <c r="B11" s="24">
        <v>76646</v>
      </c>
      <c r="C11" s="24">
        <v>11564</v>
      </c>
      <c r="D11" s="24">
        <v>13653</v>
      </c>
      <c r="E11" s="24">
        <v>41289</v>
      </c>
    </row>
    <row r="12" spans="1:5" ht="15.75" customHeight="1">
      <c r="A12" s="24" t="s">
        <v>16</v>
      </c>
      <c r="B12" s="24">
        <v>135602</v>
      </c>
      <c r="C12" s="24">
        <v>151133</v>
      </c>
      <c r="D12" s="24">
        <v>169913</v>
      </c>
      <c r="E12" s="24">
        <v>214109</v>
      </c>
    </row>
    <row r="13" spans="1:5" ht="15.75" customHeight="1">
      <c r="A13" s="24" t="s">
        <v>17</v>
      </c>
      <c r="B13" s="11">
        <v>12433</v>
      </c>
      <c r="C13" s="11">
        <v>14760</v>
      </c>
      <c r="D13" s="11">
        <v>58180</v>
      </c>
      <c r="E13" s="11">
        <v>19605</v>
      </c>
    </row>
    <row r="14" spans="1:5" ht="15.75" customHeight="1">
      <c r="A14" s="24" t="s">
        <v>18</v>
      </c>
      <c r="B14" s="24">
        <v>13117</v>
      </c>
      <c r="C14" s="24">
        <v>14825</v>
      </c>
      <c r="D14" s="24">
        <v>16801</v>
      </c>
      <c r="E14" s="24">
        <v>56537</v>
      </c>
    </row>
    <row r="15" spans="1:5" ht="15.75" customHeight="1">
      <c r="A15" s="24" t="s">
        <v>19</v>
      </c>
      <c r="B15" s="24">
        <v>13309</v>
      </c>
      <c r="C15" s="24">
        <v>12769</v>
      </c>
      <c r="D15" s="24">
        <v>16258</v>
      </c>
      <c r="E15" s="24">
        <v>55005</v>
      </c>
    </row>
    <row r="16" spans="1:5" ht="15.75" customHeight="1">
      <c r="A16" s="24" t="s">
        <v>20</v>
      </c>
      <c r="B16" s="24">
        <v>15259</v>
      </c>
      <c r="C16" s="24">
        <v>12907</v>
      </c>
      <c r="D16" s="24">
        <v>16609</v>
      </c>
      <c r="E16" s="24">
        <v>55359</v>
      </c>
    </row>
    <row r="17" spans="1:10" ht="15.75" customHeight="1">
      <c r="A17" s="24" t="s">
        <v>21</v>
      </c>
      <c r="B17" s="24">
        <v>10974</v>
      </c>
      <c r="C17" s="24">
        <v>11503</v>
      </c>
      <c r="D17" s="24">
        <v>12399</v>
      </c>
      <c r="E17" s="24">
        <v>44730</v>
      </c>
    </row>
    <row r="18" spans="1:10" ht="15.75" customHeight="1">
      <c r="A18" s="24" t="s">
        <v>22</v>
      </c>
      <c r="B18" s="24">
        <v>10.11</v>
      </c>
      <c r="C18" s="24">
        <v>10.69</v>
      </c>
      <c r="D18" s="24">
        <v>8.61</v>
      </c>
      <c r="E18" s="24">
        <v>2.93</v>
      </c>
    </row>
    <row r="19" spans="1:10" ht="15.75" customHeight="1">
      <c r="A19" s="24" t="s">
        <v>23</v>
      </c>
      <c r="B19" s="11">
        <v>445.12</v>
      </c>
      <c r="C19" s="11">
        <v>551</v>
      </c>
      <c r="D19" s="11">
        <v>675</v>
      </c>
      <c r="E19" s="11">
        <v>2090</v>
      </c>
    </row>
    <row r="20" spans="1:10" ht="15.75" customHeight="1">
      <c r="A20" s="24" t="s">
        <v>24</v>
      </c>
      <c r="B20" s="24">
        <v>4018</v>
      </c>
      <c r="C20" s="24">
        <v>0</v>
      </c>
      <c r="D20" s="24">
        <v>8</v>
      </c>
      <c r="E20" s="24">
        <v>8</v>
      </c>
    </row>
    <row r="21" spans="1:10" ht="15.75" customHeight="1">
      <c r="A21" s="24" t="s">
        <v>25</v>
      </c>
      <c r="B21" s="24">
        <v>6180</v>
      </c>
      <c r="C21" s="24">
        <v>6850</v>
      </c>
      <c r="D21" s="24">
        <v>5945</v>
      </c>
      <c r="E21" s="24">
        <v>7300</v>
      </c>
    </row>
    <row r="22" spans="1:10" ht="15.75" customHeight="1">
      <c r="A22" s="24" t="s">
        <v>26</v>
      </c>
      <c r="B22" s="24" t="s">
        <v>65</v>
      </c>
      <c r="C22" s="24" t="s">
        <v>65</v>
      </c>
      <c r="D22" s="24" t="s">
        <v>65</v>
      </c>
      <c r="E22" s="24" t="s">
        <v>65</v>
      </c>
    </row>
    <row r="23" spans="1:10" ht="15.75" customHeight="1">
      <c r="A23" s="24" t="s">
        <v>27</v>
      </c>
      <c r="B23" s="24">
        <v>8618</v>
      </c>
      <c r="C23" s="24">
        <v>10773</v>
      </c>
      <c r="D23" s="24">
        <v>13466</v>
      </c>
      <c r="E23" s="24">
        <v>42646</v>
      </c>
    </row>
    <row r="24" spans="1:10" ht="15.75" customHeight="1"/>
    <row r="25" spans="1:10" ht="15.75" customHeight="1">
      <c r="A25" s="22" t="s">
        <v>28</v>
      </c>
      <c r="B25" s="22" t="s">
        <v>29</v>
      </c>
      <c r="H25" s="17"/>
      <c r="I25" s="17"/>
      <c r="J25" s="17"/>
    </row>
    <row r="26" spans="1:10" ht="15.75" customHeight="1">
      <c r="A26" s="24" t="s">
        <v>93</v>
      </c>
      <c r="B26" s="27">
        <v>0.59919999999999995</v>
      </c>
    </row>
    <row r="27" spans="1:10" ht="15.75" customHeight="1">
      <c r="A27" s="24" t="s">
        <v>31</v>
      </c>
      <c r="B27" s="27">
        <v>0.26869999999999999</v>
      </c>
      <c r="F27" s="17"/>
      <c r="G27" s="17"/>
    </row>
    <row r="28" spans="1:10" ht="15.75" customHeight="1">
      <c r="A28" s="24" t="s">
        <v>94</v>
      </c>
      <c r="B28" s="27">
        <v>0.1313</v>
      </c>
    </row>
    <row r="29" spans="1:10" ht="15.75" customHeight="1">
      <c r="A29" s="24" t="s">
        <v>95</v>
      </c>
      <c r="B29" s="27">
        <v>8.0000000000000004E-4</v>
      </c>
    </row>
    <row r="30" spans="1:10" ht="15.75" customHeight="1"/>
    <row r="31" spans="1:10" ht="15.75" customHeight="1">
      <c r="A31" s="53" t="s">
        <v>33</v>
      </c>
    </row>
    <row r="32" spans="1:10" ht="15.75" customHeight="1"/>
    <row r="33" spans="1:7" ht="15.75" customHeight="1">
      <c r="A33" s="12" t="s">
        <v>34</v>
      </c>
      <c r="B33" s="12" t="s">
        <v>35</v>
      </c>
      <c r="C33" s="12" t="s">
        <v>36</v>
      </c>
      <c r="D33" s="12" t="s">
        <v>341</v>
      </c>
      <c r="E33" s="12"/>
    </row>
    <row r="34" spans="1:7" ht="15.75" customHeight="1">
      <c r="A34" s="13" t="s">
        <v>96</v>
      </c>
      <c r="B34" s="14" t="s">
        <v>97</v>
      </c>
      <c r="C34" s="15"/>
      <c r="D34" s="15" t="s">
        <v>98</v>
      </c>
      <c r="E34" s="12"/>
    </row>
    <row r="35" spans="1:7" ht="15.75" customHeight="1"/>
    <row r="36" spans="1:7" ht="15.75" customHeight="1">
      <c r="A36" s="16"/>
      <c r="B36" s="17" t="s">
        <v>42</v>
      </c>
      <c r="C36" s="17" t="s">
        <v>43</v>
      </c>
      <c r="D36" s="17" t="s">
        <v>44</v>
      </c>
      <c r="E36" s="17" t="s">
        <v>45</v>
      </c>
      <c r="F36" s="17" t="s">
        <v>46</v>
      </c>
      <c r="G36" s="17" t="s">
        <v>47</v>
      </c>
    </row>
    <row r="37" spans="1:7" ht="15.75" customHeight="1">
      <c r="A37" s="11" t="s">
        <v>48</v>
      </c>
      <c r="B37" s="11">
        <v>6142.3549999999996</v>
      </c>
      <c r="D37" s="11">
        <v>130955.239</v>
      </c>
      <c r="F37" s="11">
        <v>64778.771000000001</v>
      </c>
    </row>
    <row r="38" spans="1:7" ht="15.75" customHeight="1">
      <c r="A38" s="11" t="s">
        <v>51</v>
      </c>
      <c r="B38" s="11">
        <v>9405.8559999999998</v>
      </c>
      <c r="C38" s="24">
        <f>146%</f>
        <v>1.46</v>
      </c>
      <c r="D38" s="11">
        <v>18062.780999999999</v>
      </c>
      <c r="E38" s="28">
        <v>0.872</v>
      </c>
      <c r="F38" s="11">
        <v>12941.415999999999</v>
      </c>
      <c r="G38" s="20">
        <v>0.09</v>
      </c>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G1000"/>
  <sheetViews>
    <sheetView topLeftCell="A24" workbookViewId="0">
      <selection activeCell="D33" sqref="D33"/>
    </sheetView>
  </sheetViews>
  <sheetFormatPr baseColWidth="10" defaultColWidth="14.453125" defaultRowHeight="15" customHeight="1"/>
  <cols>
    <col min="1" max="1" width="45" customWidth="1"/>
    <col min="2" max="5" width="14" customWidth="1"/>
  </cols>
  <sheetData>
    <row r="1" spans="1:5" ht="14.5">
      <c r="A1" s="53" t="s">
        <v>315</v>
      </c>
      <c r="B1" s="53" t="s">
        <v>317</v>
      </c>
    </row>
    <row r="2" spans="1:5" ht="87">
      <c r="A2" s="29" t="s">
        <v>99</v>
      </c>
      <c r="B2" s="49" t="s">
        <v>310</v>
      </c>
      <c r="C2" s="1"/>
      <c r="D2" s="1"/>
      <c r="E2" s="1"/>
    </row>
    <row r="4" spans="1:5" ht="14.5">
      <c r="A4" s="50" t="s">
        <v>100</v>
      </c>
      <c r="B4" s="4" t="s">
        <v>101</v>
      </c>
      <c r="C4" s="4" t="s">
        <v>102</v>
      </c>
      <c r="D4" s="4" t="s">
        <v>103</v>
      </c>
      <c r="E4" s="4" t="s">
        <v>104</v>
      </c>
    </row>
    <row r="5" spans="1:5" ht="14.5"/>
    <row r="6" spans="1:5" ht="14.5">
      <c r="A6" s="22" t="s">
        <v>6</v>
      </c>
      <c r="B6" s="22">
        <v>2021</v>
      </c>
      <c r="C6" s="22">
        <v>2022</v>
      </c>
      <c r="D6" s="22">
        <v>2023</v>
      </c>
      <c r="E6" s="22">
        <v>2024</v>
      </c>
    </row>
    <row r="7" spans="1:5" ht="14.5">
      <c r="A7" s="24" t="s">
        <v>11</v>
      </c>
      <c r="B7" s="24">
        <v>15608</v>
      </c>
      <c r="C7" s="24">
        <v>14918</v>
      </c>
      <c r="D7" s="24">
        <v>13344</v>
      </c>
      <c r="E7" s="24">
        <f>114+11743+36</f>
        <v>11893</v>
      </c>
    </row>
    <row r="8" spans="1:5" ht="14.5">
      <c r="A8" s="24" t="s">
        <v>12</v>
      </c>
      <c r="B8" s="24">
        <v>19116</v>
      </c>
      <c r="C8" s="24">
        <v>22921</v>
      </c>
      <c r="D8" s="24">
        <v>24024</v>
      </c>
      <c r="E8" s="24" t="s">
        <v>65</v>
      </c>
    </row>
    <row r="9" spans="1:5" ht="14.5">
      <c r="A9" s="24" t="s">
        <v>13</v>
      </c>
      <c r="B9" s="24">
        <v>37293</v>
      </c>
      <c r="C9" s="24">
        <v>39706</v>
      </c>
      <c r="D9" s="24">
        <v>38585</v>
      </c>
      <c r="E9" s="11">
        <v>34241</v>
      </c>
    </row>
    <row r="10" spans="1:5" ht="14.5">
      <c r="A10" s="24" t="s">
        <v>14</v>
      </c>
      <c r="B10" s="24">
        <v>22523</v>
      </c>
      <c r="C10" s="24">
        <v>19824</v>
      </c>
      <c r="D10" s="24">
        <v>17801</v>
      </c>
      <c r="E10" s="11">
        <v>15591</v>
      </c>
    </row>
    <row r="11" spans="1:5" ht="14.5">
      <c r="A11" s="24" t="s">
        <v>15</v>
      </c>
      <c r="B11" s="24">
        <v>13612</v>
      </c>
      <c r="C11" s="24">
        <v>18680</v>
      </c>
      <c r="D11" s="24">
        <v>19563</v>
      </c>
      <c r="E11" s="24" t="s">
        <v>65</v>
      </c>
    </row>
    <row r="12" spans="1:5" ht="14.5">
      <c r="A12" s="24" t="s">
        <v>16</v>
      </c>
      <c r="B12" s="24">
        <v>38191</v>
      </c>
      <c r="C12" s="24">
        <v>36373</v>
      </c>
      <c r="D12" s="24">
        <v>29687</v>
      </c>
      <c r="E12" s="24">
        <v>27333</v>
      </c>
    </row>
    <row r="13" spans="1:5" ht="14.5">
      <c r="A13" s="24" t="s">
        <v>17</v>
      </c>
      <c r="B13" s="11">
        <v>9559</v>
      </c>
      <c r="C13" s="11">
        <v>6966</v>
      </c>
      <c r="D13" s="11">
        <v>5414</v>
      </c>
      <c r="E13" s="11">
        <v>6366</v>
      </c>
    </row>
    <row r="14" spans="1:5" ht="14.5">
      <c r="A14" s="24" t="s">
        <v>18</v>
      </c>
      <c r="B14" s="24">
        <v>702</v>
      </c>
      <c r="C14" s="24">
        <v>2020</v>
      </c>
      <c r="D14" s="24">
        <v>-1304</v>
      </c>
    </row>
    <row r="15" spans="1:5" ht="14.5">
      <c r="A15" s="24" t="s">
        <v>19</v>
      </c>
      <c r="B15" s="24">
        <v>676</v>
      </c>
      <c r="C15" s="24">
        <v>1985</v>
      </c>
      <c r="D15" s="24">
        <v>-1213</v>
      </c>
      <c r="E15" s="11">
        <v>-2136</v>
      </c>
    </row>
    <row r="16" spans="1:5" ht="14.5">
      <c r="A16" s="24" t="s">
        <v>20</v>
      </c>
      <c r="B16" s="24">
        <v>2836</v>
      </c>
      <c r="C16" s="24">
        <v>4035</v>
      </c>
      <c r="D16" s="24">
        <v>1139</v>
      </c>
      <c r="E16" s="11">
        <v>-352</v>
      </c>
    </row>
    <row r="17" spans="1:5" ht="14.5">
      <c r="A17" s="24" t="s">
        <v>21</v>
      </c>
      <c r="B17" s="24">
        <v>1401</v>
      </c>
      <c r="C17" s="24">
        <v>-1299</v>
      </c>
      <c r="D17" s="24">
        <v>-2035</v>
      </c>
      <c r="E17" s="24">
        <v>-2218</v>
      </c>
    </row>
    <row r="18" spans="1:5" ht="14.5">
      <c r="A18" s="24" t="s">
        <v>22</v>
      </c>
      <c r="B18" s="24">
        <v>29.63</v>
      </c>
      <c r="C18" s="24">
        <v>-12.3</v>
      </c>
      <c r="D18" s="24">
        <v>-5.46</v>
      </c>
      <c r="E18" s="24">
        <v>-3.84</v>
      </c>
    </row>
    <row r="19" spans="1:5" ht="14.5">
      <c r="A19" s="24" t="s">
        <v>23</v>
      </c>
      <c r="B19" s="30">
        <v>60.75</v>
      </c>
    </row>
    <row r="20" spans="1:5" ht="15.75" customHeight="1">
      <c r="A20" s="24" t="s">
        <v>24</v>
      </c>
      <c r="B20" s="24">
        <v>1158</v>
      </c>
      <c r="C20" s="24">
        <v>1202</v>
      </c>
      <c r="D20" s="24">
        <v>1221</v>
      </c>
      <c r="E20" s="24" t="s">
        <v>65</v>
      </c>
    </row>
    <row r="21" spans="1:5" ht="15.75" customHeight="1">
      <c r="A21" s="24" t="s">
        <v>25</v>
      </c>
      <c r="B21" s="24">
        <v>2000</v>
      </c>
      <c r="C21" s="24">
        <v>770</v>
      </c>
      <c r="D21" s="24">
        <v>535</v>
      </c>
      <c r="E21" s="24">
        <v>410</v>
      </c>
    </row>
    <row r="22" spans="1:5" ht="15.75" customHeight="1">
      <c r="A22" s="24" t="s">
        <v>26</v>
      </c>
      <c r="B22" s="24" t="s">
        <v>65</v>
      </c>
      <c r="C22" s="24" t="s">
        <v>65</v>
      </c>
      <c r="D22" s="24" t="s">
        <v>65</v>
      </c>
      <c r="E22" s="24" t="s">
        <v>65</v>
      </c>
    </row>
    <row r="23" spans="1:5" ht="15.75" customHeight="1">
      <c r="A23" s="24" t="s">
        <v>27</v>
      </c>
      <c r="B23" s="24">
        <v>1400</v>
      </c>
    </row>
    <row r="24" spans="1:5" ht="15.75" customHeight="1">
      <c r="A24" s="22"/>
      <c r="B24" s="22"/>
    </row>
    <row r="25" spans="1:5" ht="15.75" customHeight="1">
      <c r="A25" s="22" t="s">
        <v>28</v>
      </c>
      <c r="B25" s="22" t="s">
        <v>29</v>
      </c>
    </row>
    <row r="26" spans="1:5" ht="15.75" customHeight="1">
      <c r="A26" s="24" t="s">
        <v>105</v>
      </c>
      <c r="B26" s="27">
        <v>0.70499999999999996</v>
      </c>
    </row>
    <row r="27" spans="1:5" ht="15.75" customHeight="1">
      <c r="A27" s="24" t="s">
        <v>31</v>
      </c>
      <c r="B27" s="27">
        <v>0.27700000000000002</v>
      </c>
    </row>
    <row r="28" spans="1:5" ht="15.75" customHeight="1">
      <c r="A28" s="24" t="s">
        <v>106</v>
      </c>
      <c r="B28" s="27">
        <v>1.2999999999999999E-2</v>
      </c>
    </row>
    <row r="29" spans="1:5" ht="15.75" customHeight="1">
      <c r="A29" s="24" t="s">
        <v>107</v>
      </c>
      <c r="B29" s="27">
        <v>5.0000000000000001E-3</v>
      </c>
    </row>
    <row r="30" spans="1:5" ht="15.75" customHeight="1"/>
    <row r="31" spans="1:5" ht="15.75" customHeight="1">
      <c r="A31" s="53" t="s">
        <v>33</v>
      </c>
    </row>
    <row r="32" spans="1:5" ht="15.75" customHeight="1"/>
    <row r="33" spans="1:7" ht="15.75" customHeight="1">
      <c r="A33" s="12" t="s">
        <v>34</v>
      </c>
      <c r="B33" s="12" t="s">
        <v>35</v>
      </c>
      <c r="C33" s="12" t="s">
        <v>36</v>
      </c>
      <c r="D33" s="12" t="s">
        <v>341</v>
      </c>
      <c r="E33" s="12"/>
    </row>
    <row r="34" spans="1:7" ht="15.75" customHeight="1">
      <c r="A34" s="13" t="s">
        <v>108</v>
      </c>
      <c r="B34" s="14" t="s">
        <v>109</v>
      </c>
      <c r="C34" s="15"/>
      <c r="D34" s="15" t="s">
        <v>110</v>
      </c>
      <c r="E34" s="12"/>
    </row>
    <row r="35" spans="1:7" ht="15.75" customHeight="1"/>
    <row r="36" spans="1:7" ht="15.75" customHeight="1">
      <c r="A36" s="16"/>
      <c r="B36" s="17" t="s">
        <v>42</v>
      </c>
      <c r="C36" s="17" t="s">
        <v>43</v>
      </c>
      <c r="D36" s="17" t="s">
        <v>44</v>
      </c>
      <c r="E36" s="17" t="s">
        <v>45</v>
      </c>
      <c r="F36" s="17" t="s">
        <v>46</v>
      </c>
      <c r="G36" s="17" t="s">
        <v>47</v>
      </c>
    </row>
    <row r="37" spans="1:7" ht="15.75" customHeight="1">
      <c r="A37" s="11" t="s">
        <v>48</v>
      </c>
      <c r="B37" s="11" t="s">
        <v>49</v>
      </c>
      <c r="D37" s="11" t="s">
        <v>111</v>
      </c>
      <c r="F37" s="11" t="s">
        <v>112</v>
      </c>
    </row>
    <row r="38" spans="1:7" ht="15.75" customHeight="1">
      <c r="A38" s="11" t="s">
        <v>51</v>
      </c>
      <c r="B38" s="11" t="s">
        <v>49</v>
      </c>
      <c r="C38" s="11" t="s">
        <v>49</v>
      </c>
      <c r="D38" s="11" t="s">
        <v>113</v>
      </c>
      <c r="E38" s="24">
        <f>768%</f>
        <v>7.68</v>
      </c>
      <c r="F38" s="11" t="s">
        <v>114</v>
      </c>
      <c r="G38" s="18">
        <v>4.7610000000000001</v>
      </c>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tabColor rgb="FFFFFF00"/>
  </sheetPr>
  <dimension ref="A1:J1000"/>
  <sheetViews>
    <sheetView topLeftCell="A27" workbookViewId="0">
      <selection activeCell="D34" sqref="D34"/>
    </sheetView>
  </sheetViews>
  <sheetFormatPr baseColWidth="10" defaultColWidth="14.453125" defaultRowHeight="15" customHeight="1"/>
  <cols>
    <col min="1" max="1" width="45" customWidth="1"/>
    <col min="2" max="5" width="14" customWidth="1"/>
    <col min="6" max="6" width="8.7265625" customWidth="1"/>
  </cols>
  <sheetData>
    <row r="1" spans="1:5" ht="14.5">
      <c r="A1" s="53" t="s">
        <v>315</v>
      </c>
      <c r="B1" s="53" t="s">
        <v>317</v>
      </c>
    </row>
    <row r="2" spans="1:5" ht="101.5">
      <c r="A2" s="29" t="s">
        <v>115</v>
      </c>
      <c r="B2" s="67" t="s">
        <v>339</v>
      </c>
      <c r="C2" s="1"/>
      <c r="D2" s="1"/>
      <c r="E2" s="1"/>
    </row>
    <row r="4" spans="1:5" ht="14.5">
      <c r="A4" s="50" t="s">
        <v>100</v>
      </c>
      <c r="B4" s="1" t="s">
        <v>116</v>
      </c>
      <c r="C4" s="1" t="s">
        <v>117</v>
      </c>
      <c r="D4" s="1" t="s">
        <v>118</v>
      </c>
      <c r="E4" s="1" t="s">
        <v>119</v>
      </c>
    </row>
    <row r="5" spans="1:5" ht="14.5"/>
    <row r="6" spans="1:5" ht="14.5">
      <c r="A6" s="22" t="s">
        <v>6</v>
      </c>
      <c r="B6" s="22">
        <v>2021</v>
      </c>
      <c r="C6" s="22">
        <v>2022</v>
      </c>
      <c r="D6" s="22">
        <v>2023</v>
      </c>
      <c r="E6" s="22">
        <v>2024</v>
      </c>
    </row>
    <row r="7" spans="1:5" ht="14.5">
      <c r="A7" s="24" t="s">
        <v>11</v>
      </c>
      <c r="B7" s="24">
        <v>18871</v>
      </c>
      <c r="C7" s="24">
        <v>18217</v>
      </c>
      <c r="D7" s="24">
        <v>17365</v>
      </c>
      <c r="E7" s="24">
        <v>8046</v>
      </c>
    </row>
    <row r="8" spans="1:5" ht="14.5">
      <c r="A8" s="24" t="s">
        <v>12</v>
      </c>
      <c r="B8" s="24">
        <v>34829</v>
      </c>
      <c r="C8" s="24">
        <v>36359</v>
      </c>
      <c r="D8" s="24">
        <v>33332</v>
      </c>
      <c r="E8" s="24">
        <v>31629</v>
      </c>
    </row>
    <row r="9" spans="1:5" ht="14.5">
      <c r="A9" s="24" t="s">
        <v>13</v>
      </c>
      <c r="B9" s="24">
        <v>53740</v>
      </c>
      <c r="C9" s="24">
        <v>54851</v>
      </c>
      <c r="D9" s="24">
        <v>50700</v>
      </c>
      <c r="E9" s="24">
        <v>61059</v>
      </c>
    </row>
    <row r="10" spans="1:5" ht="14.5">
      <c r="A10" s="24" t="s">
        <v>14</v>
      </c>
      <c r="B10" s="24">
        <v>23675</v>
      </c>
      <c r="C10" s="24">
        <v>23828</v>
      </c>
      <c r="D10" s="24">
        <v>26902</v>
      </c>
      <c r="E10" s="24">
        <v>43453</v>
      </c>
    </row>
    <row r="11" spans="1:5" ht="14.5">
      <c r="A11" s="24" t="s">
        <v>15</v>
      </c>
    </row>
    <row r="12" spans="1:5" ht="14.5">
      <c r="A12" s="24" t="s">
        <v>16</v>
      </c>
      <c r="B12" s="24">
        <v>41473</v>
      </c>
      <c r="C12" s="24">
        <v>45464</v>
      </c>
      <c r="D12" s="24">
        <v>38215</v>
      </c>
      <c r="E12" s="24">
        <v>30694</v>
      </c>
    </row>
    <row r="13" spans="1:5" ht="14.5">
      <c r="A13" s="24" t="s">
        <v>17</v>
      </c>
      <c r="B13" s="24" t="s">
        <v>65</v>
      </c>
      <c r="C13" s="24" t="s">
        <v>65</v>
      </c>
      <c r="D13" s="24" t="s">
        <v>65</v>
      </c>
      <c r="E13" s="24" t="s">
        <v>65</v>
      </c>
    </row>
    <row r="14" spans="1:5" ht="14.5">
      <c r="A14" s="24" t="s">
        <v>18</v>
      </c>
      <c r="B14" s="24">
        <v>-833</v>
      </c>
      <c r="C14" s="24">
        <v>780</v>
      </c>
      <c r="D14" s="24">
        <v>3434</v>
      </c>
      <c r="E14" s="24">
        <v>4340</v>
      </c>
    </row>
    <row r="15" spans="1:5" ht="14.5">
      <c r="A15" s="24" t="s">
        <v>19</v>
      </c>
      <c r="B15" s="24">
        <v>671</v>
      </c>
      <c r="C15" s="24">
        <v>1159</v>
      </c>
      <c r="D15" s="24">
        <v>2968</v>
      </c>
      <c r="E15" s="24">
        <v>472</v>
      </c>
    </row>
    <row r="16" spans="1:5" ht="14.5">
      <c r="A16" s="24" t="s">
        <v>20</v>
      </c>
      <c r="B16" s="24">
        <v>671</v>
      </c>
      <c r="C16" s="24">
        <v>1159</v>
      </c>
      <c r="D16" s="24">
        <v>2968</v>
      </c>
      <c r="E16" s="24">
        <v>472</v>
      </c>
    </row>
    <row r="17" spans="1:10" ht="14.5">
      <c r="A17" s="24" t="s">
        <v>21</v>
      </c>
      <c r="B17" s="24">
        <v>-1276</v>
      </c>
      <c r="C17" s="24">
        <v>154</v>
      </c>
      <c r="D17" s="24">
        <v>3076</v>
      </c>
      <c r="E17" s="24">
        <v>18595</v>
      </c>
    </row>
    <row r="18" spans="1:10" ht="14.5">
      <c r="A18" s="24" t="s">
        <v>22</v>
      </c>
      <c r="B18" s="24">
        <v>-18.57</v>
      </c>
      <c r="C18" s="24">
        <v>146.53</v>
      </c>
      <c r="D18" s="24">
        <v>8.44</v>
      </c>
      <c r="E18" s="24">
        <v>1.4</v>
      </c>
    </row>
    <row r="19" spans="1:10" ht="14.5">
      <c r="A19" s="24" t="s">
        <v>23</v>
      </c>
      <c r="D19" s="11">
        <v>143.1</v>
      </c>
      <c r="E19" s="11">
        <v>1726.56</v>
      </c>
    </row>
    <row r="20" spans="1:10" ht="15.75" customHeight="1">
      <c r="A20" s="24" t="s">
        <v>24</v>
      </c>
      <c r="B20" s="24">
        <v>19486</v>
      </c>
      <c r="C20" s="24">
        <v>17498</v>
      </c>
      <c r="D20" s="24">
        <v>13267</v>
      </c>
      <c r="E20" s="24">
        <v>15053</v>
      </c>
    </row>
    <row r="21" spans="1:10" ht="15.75" customHeight="1">
      <c r="A21" s="24" t="s">
        <v>25</v>
      </c>
      <c r="B21" s="11">
        <v>1680</v>
      </c>
      <c r="C21" s="11">
        <v>1600</v>
      </c>
      <c r="D21" s="11">
        <v>1840</v>
      </c>
      <c r="E21" s="11">
        <v>1850</v>
      </c>
    </row>
    <row r="22" spans="1:10" ht="15.75" customHeight="1">
      <c r="A22" s="24" t="s">
        <v>26</v>
      </c>
      <c r="B22" s="24" t="s">
        <v>65</v>
      </c>
      <c r="C22" s="24" t="s">
        <v>65</v>
      </c>
      <c r="D22" s="24" t="s">
        <v>65</v>
      </c>
      <c r="E22" s="24" t="s">
        <v>65</v>
      </c>
    </row>
    <row r="23" spans="1:10" ht="15.75" customHeight="1">
      <c r="A23" s="24" t="s">
        <v>27</v>
      </c>
      <c r="D23" s="24">
        <v>2045</v>
      </c>
      <c r="E23" s="7">
        <f>2000.67*B4/1000000</f>
        <v>28216.929505799999</v>
      </c>
      <c r="H23" s="17"/>
      <c r="I23" s="17"/>
      <c r="J23" s="17"/>
    </row>
    <row r="24" spans="1:10" ht="15.75" customHeight="1"/>
    <row r="25" spans="1:10" ht="15.75" customHeight="1">
      <c r="A25" s="22" t="s">
        <v>28</v>
      </c>
      <c r="B25" s="22" t="s">
        <v>29</v>
      </c>
      <c r="F25" s="17"/>
      <c r="G25" s="17"/>
    </row>
    <row r="26" spans="1:10" ht="15.75" customHeight="1">
      <c r="A26" s="24" t="s">
        <v>120</v>
      </c>
      <c r="B26" s="27">
        <v>0.35799999999999998</v>
      </c>
    </row>
    <row r="27" spans="1:10" ht="15.75" customHeight="1">
      <c r="A27" s="24" t="s">
        <v>31</v>
      </c>
      <c r="B27" s="27">
        <v>0.33479999999999999</v>
      </c>
    </row>
    <row r="28" spans="1:10" ht="15.75" customHeight="1">
      <c r="A28" s="24" t="s">
        <v>121</v>
      </c>
      <c r="B28" s="19">
        <v>0.1</v>
      </c>
    </row>
    <row r="29" spans="1:10" ht="15.75" customHeight="1">
      <c r="A29" s="24" t="s">
        <v>122</v>
      </c>
      <c r="B29" s="27">
        <v>5.0900000000000001E-2</v>
      </c>
    </row>
    <row r="30" spans="1:10" ht="15.75" customHeight="1">
      <c r="A30" s="24" t="s">
        <v>123</v>
      </c>
      <c r="B30" s="27">
        <v>5.0900000000000001E-2</v>
      </c>
    </row>
    <row r="31" spans="1:10" ht="15.75" customHeight="1"/>
    <row r="32" spans="1:10" ht="15.75" customHeight="1">
      <c r="A32" s="53" t="s">
        <v>33</v>
      </c>
    </row>
    <row r="33" spans="1:7" ht="15.75" customHeight="1"/>
    <row r="34" spans="1:7" ht="15.75" customHeight="1">
      <c r="A34" s="12" t="s">
        <v>34</v>
      </c>
      <c r="B34" s="12" t="s">
        <v>35</v>
      </c>
      <c r="C34" s="12" t="s">
        <v>36</v>
      </c>
      <c r="D34" s="12" t="s">
        <v>341</v>
      </c>
      <c r="E34" s="12"/>
    </row>
    <row r="35" spans="1:7" ht="15.75" customHeight="1">
      <c r="A35" s="13" t="s">
        <v>70</v>
      </c>
      <c r="B35" s="14" t="s">
        <v>124</v>
      </c>
      <c r="C35" s="15" t="s">
        <v>98</v>
      </c>
      <c r="D35" s="15" t="s">
        <v>125</v>
      </c>
      <c r="E35" s="12"/>
    </row>
    <row r="36" spans="1:7" ht="15.75" customHeight="1"/>
    <row r="37" spans="1:7" ht="15.75" customHeight="1">
      <c r="A37" s="16"/>
      <c r="B37" s="17" t="s">
        <v>42</v>
      </c>
      <c r="C37" s="17" t="s">
        <v>43</v>
      </c>
      <c r="D37" s="17" t="s">
        <v>44</v>
      </c>
      <c r="E37" s="17" t="s">
        <v>45</v>
      </c>
      <c r="F37" s="17" t="s">
        <v>46</v>
      </c>
      <c r="G37" s="17" t="s">
        <v>47</v>
      </c>
    </row>
    <row r="38" spans="1:7" ht="15.75" customHeight="1">
      <c r="A38" s="11" t="s">
        <v>48</v>
      </c>
      <c r="B38" s="11">
        <v>18092</v>
      </c>
      <c r="D38" s="11">
        <v>18371</v>
      </c>
      <c r="F38" s="11">
        <v>18371</v>
      </c>
    </row>
    <row r="39" spans="1:7" ht="15.75" customHeight="1">
      <c r="A39" s="11" t="s">
        <v>51</v>
      </c>
      <c r="B39" s="11">
        <v>297</v>
      </c>
      <c r="C39" s="20">
        <v>1.1100000000000001</v>
      </c>
      <c r="D39" s="11">
        <v>105</v>
      </c>
      <c r="E39" s="20">
        <v>-0.97</v>
      </c>
      <c r="F39" s="11">
        <v>-216</v>
      </c>
      <c r="G39" s="20">
        <v>-1.05</v>
      </c>
    </row>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H1000"/>
  <sheetViews>
    <sheetView topLeftCell="A27" workbookViewId="0">
      <selection activeCell="D32" sqref="D32"/>
    </sheetView>
  </sheetViews>
  <sheetFormatPr baseColWidth="10" defaultColWidth="14.453125" defaultRowHeight="15" customHeight="1"/>
  <cols>
    <col min="1" max="1" width="45" customWidth="1"/>
    <col min="2" max="5" width="14" customWidth="1"/>
    <col min="6" max="6" width="8.7265625" customWidth="1"/>
  </cols>
  <sheetData>
    <row r="1" spans="1:5" ht="14.5">
      <c r="A1" s="50" t="s">
        <v>315</v>
      </c>
      <c r="B1" s="50" t="s">
        <v>317</v>
      </c>
      <c r="C1" s="1"/>
      <c r="D1" s="1"/>
      <c r="E1" s="1"/>
    </row>
    <row r="2" spans="1:5" ht="87">
      <c r="A2" s="1" t="s">
        <v>126</v>
      </c>
      <c r="B2" s="49" t="s">
        <v>311</v>
      </c>
      <c r="C2" s="1"/>
      <c r="D2" s="1"/>
      <c r="E2" s="1"/>
    </row>
    <row r="3" spans="1:5" ht="14.5"/>
    <row r="4" spans="1:5" ht="14.5">
      <c r="A4" s="23" t="s">
        <v>1</v>
      </c>
      <c r="B4" s="83" t="s">
        <v>127</v>
      </c>
      <c r="C4" s="83" t="s">
        <v>128</v>
      </c>
      <c r="D4" s="83" t="s">
        <v>129</v>
      </c>
      <c r="E4" s="83" t="s">
        <v>130</v>
      </c>
    </row>
    <row r="5" spans="1:5" ht="15.75" customHeight="1">
      <c r="A5" s="1"/>
      <c r="B5" s="83"/>
      <c r="C5" s="83"/>
      <c r="D5" s="83"/>
      <c r="E5" s="83"/>
    </row>
    <row r="6" spans="1:5" ht="15.75" customHeight="1">
      <c r="A6" s="3" t="s">
        <v>6</v>
      </c>
      <c r="B6" s="84" t="s">
        <v>7</v>
      </c>
      <c r="C6" s="84" t="s">
        <v>8</v>
      </c>
      <c r="D6" s="84" t="s">
        <v>9</v>
      </c>
      <c r="E6" s="84" t="s">
        <v>10</v>
      </c>
    </row>
    <row r="7" spans="1:5" ht="15.75" customHeight="1">
      <c r="A7" s="24" t="s">
        <v>11</v>
      </c>
      <c r="B7" s="74">
        <v>68045</v>
      </c>
      <c r="C7" s="74">
        <v>69443</v>
      </c>
      <c r="D7" s="74">
        <v>69074</v>
      </c>
      <c r="E7" s="74">
        <v>71040</v>
      </c>
    </row>
    <row r="8" spans="1:5" ht="15.75" customHeight="1">
      <c r="A8" s="24" t="s">
        <v>12</v>
      </c>
      <c r="B8" s="69">
        <v>78353</v>
      </c>
      <c r="C8" s="69">
        <v>85786</v>
      </c>
      <c r="D8" s="69">
        <v>93726</v>
      </c>
      <c r="E8" s="69">
        <v>106956</v>
      </c>
    </row>
    <row r="9" spans="1:5" ht="15.75" customHeight="1">
      <c r="A9" s="24" t="s">
        <v>13</v>
      </c>
      <c r="B9" s="74">
        <v>156297</v>
      </c>
      <c r="C9" s="74">
        <v>159651</v>
      </c>
      <c r="D9" s="74">
        <v>167625</v>
      </c>
      <c r="E9" s="74">
        <v>191526</v>
      </c>
    </row>
    <row r="10" spans="1:5" ht="15.75" customHeight="1">
      <c r="A10" s="24" t="s">
        <v>14</v>
      </c>
      <c r="B10" s="74">
        <v>48133</v>
      </c>
      <c r="C10" s="74">
        <v>49270</v>
      </c>
      <c r="D10" s="74">
        <v>45699</v>
      </c>
      <c r="E10" s="74">
        <v>41114</v>
      </c>
    </row>
    <row r="11" spans="1:5" ht="15.75" customHeight="1">
      <c r="A11" s="24" t="s">
        <v>15</v>
      </c>
      <c r="B11" s="74">
        <v>91927</v>
      </c>
      <c r="C11" s="74">
        <v>93336</v>
      </c>
      <c r="D11" s="74">
        <v>103635</v>
      </c>
      <c r="E11" s="74">
        <v>125527</v>
      </c>
    </row>
    <row r="12" spans="1:5" ht="15.75" customHeight="1">
      <c r="A12" s="24" t="s">
        <v>16</v>
      </c>
      <c r="B12" s="74">
        <v>500871</v>
      </c>
      <c r="C12" s="74">
        <v>573130</v>
      </c>
      <c r="D12" s="74">
        <v>589577</v>
      </c>
      <c r="E12" s="74">
        <v>630948</v>
      </c>
    </row>
    <row r="13" spans="1:5" ht="15.75" customHeight="1">
      <c r="A13" s="24" t="s">
        <v>17</v>
      </c>
      <c r="B13" s="74">
        <v>30970</v>
      </c>
      <c r="C13" s="74">
        <v>31368</v>
      </c>
      <c r="D13" s="74">
        <v>29550</v>
      </c>
      <c r="E13" s="74">
        <v>26774</v>
      </c>
    </row>
    <row r="14" spans="1:5" ht="15.75" customHeight="1">
      <c r="A14" s="24" t="s">
        <v>18</v>
      </c>
      <c r="B14" s="74">
        <v>15490</v>
      </c>
      <c r="C14" s="74">
        <v>16331</v>
      </c>
      <c r="D14" s="74">
        <v>12124</v>
      </c>
      <c r="E14" s="74">
        <v>12309</v>
      </c>
    </row>
    <row r="15" spans="1:5" ht="15.75" customHeight="1">
      <c r="A15" s="24" t="s">
        <v>19</v>
      </c>
      <c r="B15" s="74">
        <v>16088</v>
      </c>
      <c r="C15" s="74">
        <v>16509</v>
      </c>
      <c r="D15" s="74">
        <v>12087</v>
      </c>
      <c r="E15" s="74">
        <v>10491</v>
      </c>
    </row>
    <row r="16" spans="1:5" ht="15.75" customHeight="1">
      <c r="A16" s="24" t="s">
        <v>20</v>
      </c>
      <c r="B16" s="74">
        <v>24340</v>
      </c>
      <c r="C16" s="74">
        <v>23768</v>
      </c>
      <c r="D16" s="74">
        <v>21611</v>
      </c>
      <c r="E16" s="74">
        <v>20029</v>
      </c>
    </row>
    <row r="17" spans="1:8" ht="15.75" customHeight="1">
      <c r="A17" s="24" t="s">
        <v>21</v>
      </c>
      <c r="B17" s="74">
        <v>11143</v>
      </c>
      <c r="C17" s="74">
        <v>12279</v>
      </c>
      <c r="D17" s="74">
        <v>8709</v>
      </c>
      <c r="E17" s="74">
        <v>9375</v>
      </c>
    </row>
    <row r="18" spans="1:8" ht="15.75" customHeight="1">
      <c r="A18" s="24" t="s">
        <v>22</v>
      </c>
      <c r="B18" s="74">
        <v>11.87</v>
      </c>
      <c r="C18" s="74">
        <v>9.7200000000000006</v>
      </c>
      <c r="D18" s="74">
        <v>13.02</v>
      </c>
      <c r="E18" s="74">
        <v>16.8</v>
      </c>
    </row>
    <row r="19" spans="1:8" ht="15.75" customHeight="1">
      <c r="A19" s="24" t="s">
        <v>23</v>
      </c>
      <c r="B19" s="74">
        <v>159.29</v>
      </c>
      <c r="C19" s="74">
        <v>175.53</v>
      </c>
      <c r="D19" s="74">
        <v>199.54</v>
      </c>
      <c r="E19" s="74">
        <v>196</v>
      </c>
    </row>
    <row r="20" spans="1:8" ht="15.75" customHeight="1">
      <c r="A20" s="24" t="s">
        <v>24</v>
      </c>
      <c r="B20" s="74">
        <v>8483</v>
      </c>
      <c r="C20" s="74">
        <v>4820</v>
      </c>
      <c r="D20" s="74">
        <v>2435</v>
      </c>
      <c r="E20" s="74">
        <v>3149</v>
      </c>
    </row>
    <row r="21" spans="1:8" ht="15.75" customHeight="1">
      <c r="A21" s="24" t="s">
        <v>25</v>
      </c>
      <c r="B21" s="74">
        <v>2100</v>
      </c>
      <c r="C21" s="74">
        <v>1895</v>
      </c>
      <c r="D21" s="74">
        <v>1800</v>
      </c>
      <c r="E21" s="74">
        <v>2500</v>
      </c>
    </row>
    <row r="22" spans="1:8" ht="15.75" customHeight="1">
      <c r="A22" s="24" t="s">
        <v>26</v>
      </c>
      <c r="B22" s="71"/>
      <c r="C22" s="71"/>
      <c r="D22" s="71"/>
      <c r="E22" s="71"/>
    </row>
    <row r="23" spans="1:8" ht="15.75" customHeight="1">
      <c r="A23" s="24" t="s">
        <v>27</v>
      </c>
      <c r="B23" s="74">
        <v>11143</v>
      </c>
      <c r="C23" s="74">
        <v>12279</v>
      </c>
      <c r="D23" s="74">
        <v>13959</v>
      </c>
      <c r="E23" s="74">
        <v>14000</v>
      </c>
    </row>
    <row r="24" spans="1:8" ht="15.75" customHeight="1">
      <c r="F24" s="17"/>
      <c r="G24" s="17"/>
      <c r="H24" s="17"/>
    </row>
    <row r="25" spans="1:8" ht="15.75" customHeight="1">
      <c r="A25" s="22" t="s">
        <v>28</v>
      </c>
      <c r="B25" s="22" t="s">
        <v>29</v>
      </c>
      <c r="D25" s="17"/>
      <c r="E25" s="17"/>
    </row>
    <row r="26" spans="1:8" ht="15.75" customHeight="1">
      <c r="A26" s="24" t="s">
        <v>131</v>
      </c>
      <c r="B26" s="27">
        <v>0.47020000000000001</v>
      </c>
    </row>
    <row r="27" spans="1:8" ht="15.75" customHeight="1">
      <c r="A27" s="24" t="s">
        <v>31</v>
      </c>
      <c r="B27" s="27">
        <v>0.27010000000000001</v>
      </c>
    </row>
    <row r="28" spans="1:8" ht="15.75" customHeight="1">
      <c r="A28" s="24" t="s">
        <v>132</v>
      </c>
      <c r="B28" s="27">
        <v>0.25969999999999999</v>
      </c>
    </row>
    <row r="29" spans="1:8" ht="15.75" customHeight="1"/>
    <row r="30" spans="1:8" ht="15.75" customHeight="1">
      <c r="A30" s="53" t="s">
        <v>33</v>
      </c>
    </row>
    <row r="31" spans="1:8" ht="15.75" customHeight="1"/>
    <row r="32" spans="1:8" ht="15.75" customHeight="1">
      <c r="A32" s="12" t="s">
        <v>34</v>
      </c>
      <c r="B32" s="12" t="s">
        <v>35</v>
      </c>
      <c r="C32" s="12" t="s">
        <v>36</v>
      </c>
      <c r="D32" s="12" t="s">
        <v>341</v>
      </c>
      <c r="E32" s="12"/>
    </row>
    <row r="33" spans="1:5" ht="15.75" customHeight="1">
      <c r="A33" s="13" t="s">
        <v>133</v>
      </c>
      <c r="B33" s="14" t="s">
        <v>134</v>
      </c>
      <c r="C33" s="15"/>
      <c r="D33" s="15" t="s">
        <v>135</v>
      </c>
      <c r="E33" s="12"/>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H1000"/>
  <sheetViews>
    <sheetView topLeftCell="A24" workbookViewId="0">
      <selection activeCell="D32" sqref="D32"/>
    </sheetView>
  </sheetViews>
  <sheetFormatPr baseColWidth="10" defaultColWidth="14.453125" defaultRowHeight="15" customHeight="1"/>
  <cols>
    <col min="1" max="1" width="45" customWidth="1"/>
    <col min="2" max="5" width="14" customWidth="1"/>
    <col min="6" max="6" width="8.7265625" customWidth="1"/>
  </cols>
  <sheetData>
    <row r="1" spans="1:5" ht="14.5">
      <c r="A1" s="50" t="s">
        <v>315</v>
      </c>
      <c r="B1" s="50" t="s">
        <v>317</v>
      </c>
      <c r="C1" s="1"/>
      <c r="D1" s="1"/>
      <c r="E1" s="1"/>
    </row>
    <row r="2" spans="1:5" ht="87">
      <c r="A2" s="1" t="s">
        <v>136</v>
      </c>
      <c r="B2" s="49" t="s">
        <v>312</v>
      </c>
      <c r="C2" s="1"/>
      <c r="D2" s="1"/>
      <c r="E2" s="1"/>
    </row>
    <row r="3" spans="1:5" ht="14.5"/>
    <row r="4" spans="1:5" ht="14.5">
      <c r="A4" s="50" t="s">
        <v>100</v>
      </c>
      <c r="B4" s="73">
        <v>32577700</v>
      </c>
      <c r="C4" s="73">
        <v>32577700</v>
      </c>
      <c r="D4" s="73">
        <v>32577700</v>
      </c>
      <c r="E4" s="73">
        <v>32577700</v>
      </c>
    </row>
    <row r="5" spans="1:5" ht="15.75" customHeight="1">
      <c r="A5" s="1"/>
      <c r="B5" s="83"/>
      <c r="C5" s="83"/>
      <c r="D5" s="83"/>
      <c r="E5" s="83"/>
    </row>
    <row r="6" spans="1:5" ht="15.75" customHeight="1">
      <c r="A6" s="3" t="s">
        <v>6</v>
      </c>
      <c r="B6" s="84" t="s">
        <v>7</v>
      </c>
      <c r="C6" s="84" t="s">
        <v>8</v>
      </c>
      <c r="D6" s="84" t="s">
        <v>9</v>
      </c>
      <c r="E6" s="84" t="s">
        <v>10</v>
      </c>
    </row>
    <row r="7" spans="1:5" ht="15.75" customHeight="1">
      <c r="A7" s="24" t="s">
        <v>11</v>
      </c>
      <c r="B7" s="74">
        <v>27272</v>
      </c>
      <c r="C7" s="74">
        <v>28804</v>
      </c>
      <c r="D7" s="74">
        <v>30646</v>
      </c>
      <c r="E7" s="74">
        <v>33352</v>
      </c>
    </row>
    <row r="8" spans="1:5" ht="15.75" customHeight="1">
      <c r="A8" s="24" t="s">
        <v>12</v>
      </c>
      <c r="B8" s="74">
        <v>90676</v>
      </c>
      <c r="C8" s="74">
        <v>137680</v>
      </c>
      <c r="D8" s="74">
        <v>156742</v>
      </c>
      <c r="E8" s="74">
        <v>127974</v>
      </c>
    </row>
    <row r="9" spans="1:5" ht="15.75" customHeight="1">
      <c r="A9" s="24" t="s">
        <v>13</v>
      </c>
      <c r="B9" s="74">
        <v>140252</v>
      </c>
      <c r="C9" s="74">
        <v>199056</v>
      </c>
      <c r="D9" s="74">
        <v>203539</v>
      </c>
      <c r="E9" s="74">
        <v>201307</v>
      </c>
    </row>
    <row r="10" spans="1:5" ht="15.75" customHeight="1">
      <c r="A10" s="24" t="s">
        <v>14</v>
      </c>
      <c r="B10" s="74">
        <v>24859</v>
      </c>
      <c r="C10" s="74">
        <v>26647</v>
      </c>
      <c r="D10" s="74">
        <v>22395</v>
      </c>
      <c r="E10" s="74">
        <v>22264</v>
      </c>
    </row>
    <row r="11" spans="1:5" ht="15.75" customHeight="1">
      <c r="A11" s="24" t="s">
        <v>15</v>
      </c>
      <c r="B11" s="74">
        <v>91924</v>
      </c>
      <c r="C11" s="74">
        <v>118246</v>
      </c>
      <c r="D11" s="74">
        <v>135982</v>
      </c>
      <c r="E11" s="74">
        <v>45726</v>
      </c>
    </row>
    <row r="12" spans="1:5" ht="15.75" customHeight="1">
      <c r="A12" s="24" t="s">
        <v>16</v>
      </c>
      <c r="B12" s="74">
        <v>397756</v>
      </c>
      <c r="C12" s="74">
        <v>481134</v>
      </c>
      <c r="D12" s="74">
        <v>499194</v>
      </c>
      <c r="E12" s="74">
        <v>484945</v>
      </c>
    </row>
    <row r="13" spans="1:5" ht="15.75" customHeight="1">
      <c r="A13" s="24" t="s">
        <v>17</v>
      </c>
      <c r="B13" s="71"/>
      <c r="C13" s="71"/>
      <c r="D13" s="71"/>
      <c r="E13" s="71"/>
    </row>
    <row r="14" spans="1:5" ht="15.75" customHeight="1">
      <c r="A14" s="24" t="s">
        <v>18</v>
      </c>
      <c r="B14" s="74">
        <v>8010</v>
      </c>
      <c r="C14" s="74">
        <v>12721</v>
      </c>
      <c r="D14" s="74">
        <v>7006</v>
      </c>
      <c r="E14" s="74">
        <v>9325</v>
      </c>
    </row>
    <row r="15" spans="1:5" ht="15.75" customHeight="1">
      <c r="A15" s="24" t="s">
        <v>19</v>
      </c>
      <c r="B15" s="74">
        <v>8256</v>
      </c>
      <c r="C15" s="74">
        <v>11864</v>
      </c>
      <c r="D15" s="74">
        <v>6676</v>
      </c>
      <c r="E15" s="74">
        <v>7471</v>
      </c>
    </row>
    <row r="16" spans="1:5" ht="15.75" customHeight="1">
      <c r="A16" s="24" t="s">
        <v>20</v>
      </c>
      <c r="B16" s="74">
        <v>12737</v>
      </c>
      <c r="C16" s="74">
        <v>16571</v>
      </c>
      <c r="D16" s="74">
        <v>12134</v>
      </c>
      <c r="E16" s="74">
        <v>13583</v>
      </c>
    </row>
    <row r="17" spans="1:8" ht="15.75" customHeight="1">
      <c r="A17" s="24" t="s">
        <v>21</v>
      </c>
      <c r="B17" s="74">
        <v>4693</v>
      </c>
      <c r="C17" s="74">
        <v>8475</v>
      </c>
      <c r="D17" s="74">
        <v>4222</v>
      </c>
      <c r="E17" s="74">
        <v>7091</v>
      </c>
    </row>
    <row r="18" spans="1:8" ht="15.75" customHeight="1">
      <c r="A18" s="24" t="s">
        <v>22</v>
      </c>
      <c r="B18" s="74">
        <v>5.57</v>
      </c>
      <c r="C18" s="74">
        <v>11.8</v>
      </c>
      <c r="D18" s="74">
        <v>9.67</v>
      </c>
      <c r="E18" s="74">
        <v>13.71</v>
      </c>
    </row>
    <row r="19" spans="1:8" ht="15.75" customHeight="1">
      <c r="A19" s="24" t="s">
        <v>23</v>
      </c>
      <c r="B19" s="69">
        <v>187.3</v>
      </c>
      <c r="C19" s="69">
        <v>241.01</v>
      </c>
      <c r="D19" s="69">
        <v>207.58</v>
      </c>
      <c r="E19" s="69">
        <v>222.4</v>
      </c>
    </row>
    <row r="20" spans="1:8" ht="15.75" customHeight="1">
      <c r="A20" s="24" t="s">
        <v>24</v>
      </c>
      <c r="B20" s="74">
        <v>4399</v>
      </c>
      <c r="C20" s="74">
        <v>4089</v>
      </c>
      <c r="D20" s="74">
        <v>5163</v>
      </c>
      <c r="E20" s="74">
        <v>5479</v>
      </c>
    </row>
    <row r="21" spans="1:8" ht="15.75" customHeight="1">
      <c r="A21" s="24" t="s">
        <v>25</v>
      </c>
      <c r="B21" s="74">
        <v>1975</v>
      </c>
      <c r="C21" s="74">
        <v>2535</v>
      </c>
      <c r="D21" s="74">
        <v>2500</v>
      </c>
      <c r="E21" s="74">
        <v>2300</v>
      </c>
    </row>
    <row r="22" spans="1:8" ht="15.75" customHeight="1">
      <c r="A22" s="24" t="s">
        <v>26</v>
      </c>
      <c r="B22" s="71"/>
      <c r="C22" s="71"/>
      <c r="D22" s="71"/>
      <c r="E22" s="71"/>
    </row>
    <row r="23" spans="1:8" ht="15.75" customHeight="1">
      <c r="A23" s="24" t="s">
        <v>27</v>
      </c>
      <c r="B23" s="74">
        <v>4692</v>
      </c>
      <c r="C23" s="74">
        <v>8475</v>
      </c>
      <c r="D23" s="74">
        <v>7222</v>
      </c>
      <c r="E23" s="74">
        <v>7691</v>
      </c>
    </row>
    <row r="24" spans="1:8" ht="15.75" customHeight="1"/>
    <row r="25" spans="1:8" ht="15.75" customHeight="1">
      <c r="A25" s="22" t="s">
        <v>28</v>
      </c>
      <c r="B25" s="22" t="s">
        <v>29</v>
      </c>
      <c r="F25" s="17"/>
      <c r="G25" s="17"/>
      <c r="H25" s="17"/>
    </row>
    <row r="26" spans="1:8" ht="15.75" customHeight="1">
      <c r="A26" s="24" t="s">
        <v>132</v>
      </c>
      <c r="B26" s="19">
        <v>0.46</v>
      </c>
      <c r="D26" s="17"/>
      <c r="E26" s="17"/>
    </row>
    <row r="27" spans="1:8" ht="15.75" customHeight="1">
      <c r="A27" s="24" t="s">
        <v>31</v>
      </c>
      <c r="B27" s="27">
        <v>0.30909999999999999</v>
      </c>
    </row>
    <row r="28" spans="1:8" ht="15.75" customHeight="1">
      <c r="A28" s="24" t="s">
        <v>137</v>
      </c>
      <c r="B28" s="19">
        <v>0.23</v>
      </c>
    </row>
    <row r="29" spans="1:8" ht="15.75" customHeight="1"/>
    <row r="30" spans="1:8" ht="15.75" customHeight="1">
      <c r="A30" s="53" t="s">
        <v>33</v>
      </c>
    </row>
    <row r="31" spans="1:8" ht="15.75" customHeight="1"/>
    <row r="32" spans="1:8" ht="15.75" customHeight="1">
      <c r="A32" s="12" t="s">
        <v>34</v>
      </c>
      <c r="B32" s="12" t="s">
        <v>35</v>
      </c>
      <c r="C32" s="12" t="s">
        <v>36</v>
      </c>
      <c r="D32" s="12" t="s">
        <v>341</v>
      </c>
      <c r="E32" s="12"/>
    </row>
    <row r="33" spans="1:5" ht="15.75" customHeight="1">
      <c r="A33" s="31" t="s">
        <v>138</v>
      </c>
      <c r="B33" s="32" t="s">
        <v>139</v>
      </c>
      <c r="C33" s="15"/>
      <c r="D33" s="33" t="s">
        <v>140</v>
      </c>
      <c r="E33" s="12"/>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I1000"/>
  <sheetViews>
    <sheetView topLeftCell="B26" workbookViewId="0">
      <selection activeCell="D32" sqref="D32"/>
    </sheetView>
  </sheetViews>
  <sheetFormatPr baseColWidth="10" defaultColWidth="14.453125" defaultRowHeight="15" customHeight="1"/>
  <cols>
    <col min="1" max="1" width="46.26953125" customWidth="1"/>
    <col min="2" max="5" width="14" customWidth="1"/>
    <col min="6" max="6" width="8.7265625" customWidth="1"/>
  </cols>
  <sheetData>
    <row r="1" spans="1:5" ht="14.5">
      <c r="A1" s="50" t="s">
        <v>315</v>
      </c>
      <c r="B1" s="50" t="s">
        <v>317</v>
      </c>
      <c r="C1" s="1"/>
      <c r="D1" s="1"/>
      <c r="E1" s="1"/>
    </row>
    <row r="2" spans="1:5" ht="87">
      <c r="A2" s="1" t="s">
        <v>136</v>
      </c>
      <c r="B2" s="49" t="s">
        <v>313</v>
      </c>
      <c r="C2" s="1"/>
      <c r="D2" s="1"/>
      <c r="E2" s="1"/>
    </row>
    <row r="3" spans="1:5" ht="14.5"/>
    <row r="4" spans="1:5" ht="14.5">
      <c r="A4" s="50" t="s">
        <v>100</v>
      </c>
      <c r="B4" s="73">
        <v>63000000</v>
      </c>
      <c r="C4" s="73">
        <v>63000000</v>
      </c>
      <c r="D4" s="73">
        <v>63000000</v>
      </c>
      <c r="E4" s="73">
        <v>63000000</v>
      </c>
    </row>
    <row r="5" spans="1:5" ht="15.75" customHeight="1">
      <c r="A5" s="1"/>
      <c r="B5" s="1"/>
      <c r="C5" s="1"/>
      <c r="D5" s="1"/>
      <c r="E5" s="1"/>
    </row>
    <row r="6" spans="1:5" ht="15.75" customHeight="1">
      <c r="A6" s="3" t="s">
        <v>6</v>
      </c>
      <c r="B6" s="3" t="s">
        <v>7</v>
      </c>
      <c r="C6" s="3" t="s">
        <v>8</v>
      </c>
      <c r="D6" s="3" t="s">
        <v>9</v>
      </c>
      <c r="E6" s="3" t="s">
        <v>10</v>
      </c>
    </row>
    <row r="7" spans="1:5" ht="15.75" customHeight="1">
      <c r="A7" s="24" t="s">
        <v>11</v>
      </c>
      <c r="B7" s="24">
        <v>45673</v>
      </c>
      <c r="C7" s="24">
        <v>47676</v>
      </c>
      <c r="D7" s="24">
        <v>61558</v>
      </c>
      <c r="E7" s="24">
        <v>67043</v>
      </c>
    </row>
    <row r="8" spans="1:5" ht="15.75" customHeight="1">
      <c r="A8" s="24" t="s">
        <v>12</v>
      </c>
      <c r="B8" s="24">
        <v>7359</v>
      </c>
      <c r="C8" s="24">
        <v>9002</v>
      </c>
      <c r="D8" s="24">
        <v>8897</v>
      </c>
      <c r="E8" s="24">
        <v>10099</v>
      </c>
    </row>
    <row r="9" spans="1:5" ht="15.75" customHeight="1">
      <c r="A9" s="24" t="s">
        <v>13</v>
      </c>
      <c r="B9" s="24">
        <v>101262</v>
      </c>
      <c r="C9" s="24">
        <v>119462</v>
      </c>
      <c r="D9" s="24">
        <v>168468</v>
      </c>
      <c r="E9" s="24">
        <v>207064</v>
      </c>
    </row>
    <row r="10" spans="1:5" ht="15.75" customHeight="1">
      <c r="A10" s="24" t="s">
        <v>14</v>
      </c>
      <c r="B10" s="24">
        <v>20665</v>
      </c>
      <c r="C10" s="24">
        <v>22913</v>
      </c>
      <c r="D10" s="24">
        <v>25678</v>
      </c>
      <c r="E10" s="24">
        <v>26519</v>
      </c>
    </row>
    <row r="11" spans="1:5" ht="15.75" customHeight="1">
      <c r="A11" s="24" t="s">
        <v>15</v>
      </c>
      <c r="B11" s="24">
        <v>48939</v>
      </c>
      <c r="C11" s="24">
        <v>30278</v>
      </c>
      <c r="D11" s="24">
        <v>37466</v>
      </c>
      <c r="E11" s="24">
        <v>27863</v>
      </c>
    </row>
    <row r="12" spans="1:5" ht="15.75" customHeight="1">
      <c r="A12" s="24" t="s">
        <v>16</v>
      </c>
      <c r="B12" s="24">
        <v>367172</v>
      </c>
      <c r="C12" s="24">
        <v>488901</v>
      </c>
      <c r="D12" s="24">
        <v>550696</v>
      </c>
      <c r="E12" s="24">
        <v>600708</v>
      </c>
    </row>
    <row r="13" spans="1:5" ht="15.75" customHeight="1">
      <c r="A13" s="24" t="s">
        <v>17</v>
      </c>
      <c r="B13" s="24">
        <v>14495</v>
      </c>
      <c r="C13" s="24">
        <v>16831</v>
      </c>
      <c r="D13" s="24">
        <v>19784</v>
      </c>
    </row>
    <row r="14" spans="1:5" ht="15.75" customHeight="1">
      <c r="A14" s="24" t="s">
        <v>18</v>
      </c>
      <c r="B14" s="24">
        <v>2979</v>
      </c>
      <c r="C14" s="24">
        <v>5334</v>
      </c>
      <c r="D14" s="24">
        <v>6431</v>
      </c>
      <c r="E14" s="24">
        <v>7375</v>
      </c>
    </row>
    <row r="15" spans="1:5" ht="15.75" customHeight="1">
      <c r="A15" s="24" t="s">
        <v>19</v>
      </c>
      <c r="B15" s="24">
        <v>3943</v>
      </c>
      <c r="C15" s="24">
        <v>6027</v>
      </c>
      <c r="D15" s="24">
        <v>8485</v>
      </c>
      <c r="E15" s="24">
        <v>11337</v>
      </c>
    </row>
    <row r="16" spans="1:5" ht="15.75" customHeight="1">
      <c r="A16" s="24" t="s">
        <v>20</v>
      </c>
      <c r="B16" s="24">
        <v>8824</v>
      </c>
      <c r="C16" s="24">
        <v>10254</v>
      </c>
      <c r="D16" s="24">
        <v>13230</v>
      </c>
      <c r="E16" s="24">
        <v>14685</v>
      </c>
    </row>
    <row r="17" spans="1:9" ht="15.75" customHeight="1">
      <c r="A17" s="24" t="s">
        <v>21</v>
      </c>
      <c r="B17" s="24">
        <v>2067</v>
      </c>
      <c r="C17" s="24">
        <v>3539</v>
      </c>
      <c r="D17" s="24">
        <v>4012</v>
      </c>
      <c r="E17" s="24">
        <v>5353</v>
      </c>
    </row>
    <row r="18" spans="1:9" ht="15.75" customHeight="1">
      <c r="A18" s="24" t="s">
        <v>22</v>
      </c>
      <c r="B18" s="24">
        <v>26.21</v>
      </c>
      <c r="C18" s="24">
        <v>13.35</v>
      </c>
      <c r="D18" s="24">
        <v>12.41</v>
      </c>
      <c r="E18" s="24">
        <v>10.36</v>
      </c>
    </row>
    <row r="19" spans="1:9" ht="15.75" customHeight="1">
      <c r="A19" s="24" t="s">
        <v>23</v>
      </c>
      <c r="B19" s="11">
        <v>29</v>
      </c>
      <c r="C19" s="11">
        <v>53</v>
      </c>
      <c r="D19" s="11">
        <v>57</v>
      </c>
      <c r="E19" s="11">
        <v>75.290000000000006</v>
      </c>
    </row>
    <row r="20" spans="1:9" ht="15.75" customHeight="1">
      <c r="A20" s="24" t="s">
        <v>24</v>
      </c>
      <c r="B20" s="24">
        <v>13516</v>
      </c>
      <c r="C20" s="24">
        <v>12675</v>
      </c>
      <c r="D20" s="24">
        <v>15109</v>
      </c>
      <c r="E20" s="24">
        <v>10444</v>
      </c>
    </row>
    <row r="21" spans="1:9" ht="15.75" customHeight="1">
      <c r="A21" s="24" t="s">
        <v>25</v>
      </c>
      <c r="B21" s="24">
        <v>860</v>
      </c>
      <c r="C21" s="24">
        <v>750</v>
      </c>
      <c r="D21" s="24">
        <v>790</v>
      </c>
      <c r="E21" s="24">
        <v>880</v>
      </c>
    </row>
    <row r="22" spans="1:9" ht="15.75" customHeight="1">
      <c r="A22" s="24" t="s">
        <v>26</v>
      </c>
    </row>
    <row r="23" spans="1:9" ht="15.75" customHeight="1">
      <c r="A23" s="24" t="s">
        <v>27</v>
      </c>
      <c r="B23" s="24">
        <v>2030</v>
      </c>
      <c r="C23" s="24">
        <v>3710</v>
      </c>
      <c r="D23" s="24">
        <v>4012</v>
      </c>
      <c r="E23" s="24">
        <v>5390</v>
      </c>
    </row>
    <row r="24" spans="1:9" ht="15.75" customHeight="1"/>
    <row r="25" spans="1:9" ht="15.75" customHeight="1">
      <c r="A25" s="22" t="s">
        <v>28</v>
      </c>
      <c r="B25" s="22" t="s">
        <v>29</v>
      </c>
      <c r="H25" s="17"/>
      <c r="I25" s="17"/>
    </row>
    <row r="26" spans="1:9" ht="15.75" customHeight="1">
      <c r="A26" s="24" t="s">
        <v>141</v>
      </c>
      <c r="B26" s="27">
        <v>0.66669999999999996</v>
      </c>
      <c r="E26" s="17"/>
      <c r="F26" s="17"/>
      <c r="G26" s="17"/>
    </row>
    <row r="27" spans="1:9" ht="15.75" customHeight="1">
      <c r="A27" s="24" t="s">
        <v>31</v>
      </c>
      <c r="B27" s="27">
        <v>0.2833</v>
      </c>
    </row>
    <row r="28" spans="1:9" ht="15.75" customHeight="1">
      <c r="A28" s="24" t="s">
        <v>142</v>
      </c>
      <c r="B28" s="19">
        <v>0.05</v>
      </c>
    </row>
    <row r="29" spans="1:9" ht="15.75" customHeight="1"/>
    <row r="30" spans="1:9" ht="15.75" customHeight="1">
      <c r="A30" s="53" t="s">
        <v>33</v>
      </c>
    </row>
    <row r="31" spans="1:9" ht="15.75" customHeight="1"/>
    <row r="32" spans="1:9" ht="15.75" customHeight="1">
      <c r="A32" s="12" t="s">
        <v>34</v>
      </c>
      <c r="B32" s="12" t="s">
        <v>35</v>
      </c>
      <c r="C32" s="12" t="s">
        <v>36</v>
      </c>
      <c r="D32" s="12" t="s">
        <v>341</v>
      </c>
      <c r="E32" s="12"/>
    </row>
    <row r="33" spans="1:7" ht="15.75" customHeight="1">
      <c r="A33" s="13" t="s">
        <v>70</v>
      </c>
      <c r="B33" s="14" t="s">
        <v>143</v>
      </c>
      <c r="C33" s="15" t="s">
        <v>144</v>
      </c>
      <c r="D33" s="15" t="s">
        <v>145</v>
      </c>
      <c r="E33" s="12"/>
    </row>
    <row r="34" spans="1:7" ht="15.75" customHeight="1"/>
    <row r="35" spans="1:7" ht="15.75" customHeight="1">
      <c r="A35" s="16"/>
      <c r="B35" s="17" t="s">
        <v>42</v>
      </c>
      <c r="C35" s="17" t="s">
        <v>43</v>
      </c>
      <c r="D35" s="17" t="s">
        <v>44</v>
      </c>
      <c r="E35" s="17" t="s">
        <v>45</v>
      </c>
      <c r="F35" s="17" t="s">
        <v>46</v>
      </c>
      <c r="G35" s="17" t="s">
        <v>47</v>
      </c>
    </row>
    <row r="36" spans="1:7" ht="15.75" customHeight="1">
      <c r="A36" s="11" t="s">
        <v>146</v>
      </c>
      <c r="B36" s="11">
        <v>155873</v>
      </c>
      <c r="D36" s="11">
        <v>307319</v>
      </c>
      <c r="F36" s="11">
        <v>600708</v>
      </c>
    </row>
    <row r="37" spans="1:7" ht="15.75" customHeight="1">
      <c r="A37" s="11" t="s">
        <v>51</v>
      </c>
      <c r="B37" s="11">
        <v>1323</v>
      </c>
      <c r="C37" s="18">
        <v>0.03</v>
      </c>
      <c r="D37" s="11">
        <v>2623</v>
      </c>
      <c r="E37" s="18">
        <v>0.03</v>
      </c>
      <c r="F37" s="11">
        <v>5354</v>
      </c>
      <c r="G37" s="20">
        <v>0.45</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I1000"/>
  <sheetViews>
    <sheetView topLeftCell="A22" workbookViewId="0">
      <selection activeCell="E34" sqref="E34"/>
    </sheetView>
  </sheetViews>
  <sheetFormatPr baseColWidth="10" defaultColWidth="14.453125" defaultRowHeight="15" customHeight="1"/>
  <cols>
    <col min="1" max="1" width="43" customWidth="1"/>
    <col min="2" max="2" width="12.7265625" customWidth="1"/>
    <col min="3" max="3" width="13.6328125" customWidth="1"/>
    <col min="4" max="4" width="32.1796875" customWidth="1"/>
    <col min="5" max="5" width="18" customWidth="1"/>
    <col min="6" max="6" width="8.7265625" customWidth="1"/>
  </cols>
  <sheetData>
    <row r="1" spans="1:5" ht="14.5">
      <c r="A1" s="53" t="s">
        <v>315</v>
      </c>
      <c r="B1" s="53" t="s">
        <v>317</v>
      </c>
    </row>
    <row r="2" spans="1:5" ht="101.5">
      <c r="A2" s="52" t="s">
        <v>147</v>
      </c>
      <c r="B2" s="67" t="s">
        <v>314</v>
      </c>
    </row>
    <row r="3" spans="1:5" ht="15.75" customHeight="1"/>
    <row r="4" spans="1:5" ht="15.75" customHeight="1">
      <c r="A4" s="54" t="s">
        <v>100</v>
      </c>
      <c r="B4" s="24">
        <v>100000000</v>
      </c>
      <c r="C4" s="24">
        <v>100000000</v>
      </c>
      <c r="D4" s="24">
        <v>100000000</v>
      </c>
      <c r="E4" s="24">
        <v>100000000</v>
      </c>
    </row>
    <row r="5" spans="1:5" ht="15.75" customHeight="1">
      <c r="A5" s="22"/>
      <c r="B5" s="22"/>
      <c r="C5" s="22"/>
      <c r="D5" s="22"/>
      <c r="E5" s="22"/>
    </row>
    <row r="6" spans="1:5" ht="15.75" customHeight="1">
      <c r="A6" s="22" t="s">
        <v>6</v>
      </c>
      <c r="B6" s="22">
        <v>2021</v>
      </c>
      <c r="C6" s="22">
        <v>2022</v>
      </c>
      <c r="D6" s="22">
        <v>2023</v>
      </c>
      <c r="E6" s="22">
        <v>2024</v>
      </c>
    </row>
    <row r="7" spans="1:5" ht="15.75" customHeight="1">
      <c r="A7" s="24" t="s">
        <v>11</v>
      </c>
      <c r="B7" s="24">
        <v>1087929</v>
      </c>
      <c r="C7" s="24">
        <v>1151193</v>
      </c>
      <c r="D7" s="24">
        <v>1253591</v>
      </c>
      <c r="E7" s="24">
        <v>1361519</v>
      </c>
    </row>
    <row r="8" spans="1:5" ht="15.75" customHeight="1">
      <c r="A8" s="24" t="s">
        <v>12</v>
      </c>
      <c r="B8" s="24" t="s">
        <v>65</v>
      </c>
      <c r="C8" s="24" t="s">
        <v>65</v>
      </c>
      <c r="D8" s="24" t="s">
        <v>65</v>
      </c>
      <c r="E8" s="24" t="s">
        <v>65</v>
      </c>
    </row>
    <row r="9" spans="1:5" ht="15.75" customHeight="1">
      <c r="A9" s="24" t="s">
        <v>13</v>
      </c>
      <c r="B9" s="24">
        <v>2252191</v>
      </c>
      <c r="C9" s="24">
        <v>2573852</v>
      </c>
      <c r="D9" s="24">
        <v>3105288</v>
      </c>
      <c r="E9" s="24">
        <v>2500295</v>
      </c>
    </row>
    <row r="10" spans="1:5" ht="15.75" customHeight="1">
      <c r="A10" s="24" t="s">
        <v>14</v>
      </c>
      <c r="B10" s="24">
        <v>816438</v>
      </c>
      <c r="C10" s="24">
        <v>962454</v>
      </c>
      <c r="D10" s="24">
        <v>962454</v>
      </c>
      <c r="E10" s="24">
        <v>1120661</v>
      </c>
    </row>
    <row r="11" spans="1:5" ht="15.75" customHeight="1">
      <c r="A11" s="24" t="s">
        <v>15</v>
      </c>
      <c r="B11" s="24">
        <v>983321</v>
      </c>
      <c r="C11" s="24">
        <v>1097022</v>
      </c>
      <c r="D11" s="24">
        <v>1270167</v>
      </c>
      <c r="E11" s="24">
        <v>1504207</v>
      </c>
    </row>
    <row r="12" spans="1:5" ht="15.75" customHeight="1">
      <c r="A12" s="24" t="s">
        <v>16</v>
      </c>
      <c r="B12" s="24">
        <v>1334874</v>
      </c>
      <c r="C12" s="24">
        <v>1455049</v>
      </c>
      <c r="D12" s="24">
        <v>1620700</v>
      </c>
      <c r="E12" s="24">
        <v>1776443</v>
      </c>
    </row>
    <row r="13" spans="1:5" ht="15.75" customHeight="1">
      <c r="A13" s="24" t="s">
        <v>17</v>
      </c>
      <c r="B13" s="24" t="s">
        <v>65</v>
      </c>
      <c r="C13" s="24" t="s">
        <v>65</v>
      </c>
      <c r="D13" s="24" t="s">
        <v>65</v>
      </c>
      <c r="E13" s="24" t="s">
        <v>65</v>
      </c>
    </row>
    <row r="14" spans="1:5" ht="15.75" customHeight="1">
      <c r="A14" s="24" t="s">
        <v>18</v>
      </c>
      <c r="B14" s="24">
        <v>375477</v>
      </c>
      <c r="C14" s="24">
        <v>422274</v>
      </c>
      <c r="D14" s="24">
        <v>496465</v>
      </c>
      <c r="E14" s="24">
        <v>596256</v>
      </c>
    </row>
    <row r="15" spans="1:5" ht="15.75" customHeight="1">
      <c r="A15" s="24" t="s">
        <v>19</v>
      </c>
      <c r="B15" s="24">
        <v>399654</v>
      </c>
      <c r="C15" s="24">
        <v>437059</v>
      </c>
      <c r="D15" s="24">
        <v>515708</v>
      </c>
      <c r="E15" s="24">
        <v>619524</v>
      </c>
    </row>
    <row r="16" spans="1:5" ht="15.75" customHeight="1">
      <c r="A16" s="24" t="s">
        <v>20</v>
      </c>
      <c r="B16" s="24">
        <v>589824</v>
      </c>
      <c r="C16" s="24">
        <v>644537</v>
      </c>
      <c r="D16" s="24">
        <v>728918</v>
      </c>
      <c r="E16" s="24">
        <v>851178</v>
      </c>
    </row>
    <row r="17" spans="1:9" ht="15.75" customHeight="1">
      <c r="A17" s="24" t="s">
        <v>21</v>
      </c>
      <c r="B17" s="24">
        <v>252459</v>
      </c>
      <c r="C17" s="24">
        <v>278913</v>
      </c>
      <c r="D17" s="24">
        <v>331749</v>
      </c>
      <c r="E17" s="24">
        <v>393662</v>
      </c>
    </row>
    <row r="18" spans="1:9" ht="15.75" customHeight="1">
      <c r="A18" s="24" t="s">
        <v>22</v>
      </c>
      <c r="B18" s="24">
        <v>5.54</v>
      </c>
      <c r="C18" s="24">
        <v>5.45</v>
      </c>
      <c r="D18" s="24">
        <v>5.42</v>
      </c>
      <c r="E18" s="24">
        <v>6.1</v>
      </c>
    </row>
    <row r="19" spans="1:9" ht="15.75" customHeight="1">
      <c r="A19" s="24" t="s">
        <v>23</v>
      </c>
      <c r="B19" s="24">
        <v>1400</v>
      </c>
      <c r="C19" s="24">
        <v>1500</v>
      </c>
      <c r="D19" s="24">
        <v>1575</v>
      </c>
      <c r="E19" s="24">
        <v>1655</v>
      </c>
    </row>
    <row r="20" spans="1:9" ht="15.75" customHeight="1">
      <c r="A20" s="24" t="s">
        <v>24</v>
      </c>
      <c r="B20" s="24">
        <v>220915</v>
      </c>
      <c r="C20" s="24">
        <v>229073</v>
      </c>
      <c r="D20" s="24">
        <v>201844</v>
      </c>
      <c r="E20" s="24">
        <v>195023</v>
      </c>
    </row>
    <row r="21" spans="1:9" ht="15.75" customHeight="1">
      <c r="A21" s="24" t="s">
        <v>25</v>
      </c>
      <c r="B21" s="24">
        <v>13975</v>
      </c>
      <c r="C21" s="24">
        <v>15200</v>
      </c>
      <c r="D21" s="24">
        <v>17980</v>
      </c>
      <c r="E21" s="24">
        <v>24000</v>
      </c>
    </row>
    <row r="22" spans="1:9" ht="15.75" customHeight="1">
      <c r="A22" s="24" t="s">
        <v>26</v>
      </c>
      <c r="B22" s="24" t="s">
        <v>65</v>
      </c>
      <c r="C22" s="24" t="s">
        <v>65</v>
      </c>
      <c r="D22" s="24" t="s">
        <v>65</v>
      </c>
      <c r="E22" s="24" t="s">
        <v>65</v>
      </c>
    </row>
    <row r="23" spans="1:9" ht="15.75" customHeight="1">
      <c r="A23" s="24" t="s">
        <v>27</v>
      </c>
      <c r="B23" s="24">
        <v>155556</v>
      </c>
      <c r="C23" s="24">
        <v>166700</v>
      </c>
      <c r="D23" s="5">
        <f>1750*B4/1000000</f>
        <v>175000</v>
      </c>
      <c r="E23" s="24">
        <v>183889</v>
      </c>
    </row>
    <row r="24" spans="1:9" ht="15.75" customHeight="1"/>
    <row r="25" spans="1:9" ht="15.75" customHeight="1">
      <c r="A25" s="35" t="s">
        <v>28</v>
      </c>
      <c r="B25" s="35" t="s">
        <v>29</v>
      </c>
      <c r="H25" s="17"/>
      <c r="I25" s="17"/>
    </row>
    <row r="26" spans="1:9" ht="15.75" customHeight="1">
      <c r="A26" s="36" t="s">
        <v>148</v>
      </c>
      <c r="B26" s="37">
        <v>0.42299999999999999</v>
      </c>
    </row>
    <row r="27" spans="1:9" ht="15.75" customHeight="1">
      <c r="A27" s="36" t="s">
        <v>149</v>
      </c>
      <c r="B27" s="37">
        <v>0.27700000000000002</v>
      </c>
      <c r="E27" s="17"/>
      <c r="F27" s="17"/>
      <c r="G27" s="17"/>
    </row>
    <row r="28" spans="1:9" ht="15.75" customHeight="1">
      <c r="A28" s="36" t="s">
        <v>150</v>
      </c>
      <c r="B28" s="37">
        <v>0.2</v>
      </c>
    </row>
    <row r="29" spans="1:9" ht="15.75" customHeight="1">
      <c r="A29" s="36" t="s">
        <v>151</v>
      </c>
      <c r="B29" s="37">
        <v>0.1</v>
      </c>
    </row>
    <row r="30" spans="1:9" ht="15.75" customHeight="1"/>
    <row r="31" spans="1:9" ht="15.75" customHeight="1">
      <c r="A31" s="53" t="s">
        <v>33</v>
      </c>
    </row>
    <row r="32" spans="1:9" ht="15.75" customHeight="1"/>
    <row r="33" spans="1:7" ht="15.75" customHeight="1">
      <c r="A33" s="12" t="s">
        <v>34</v>
      </c>
      <c r="B33" s="12" t="s">
        <v>35</v>
      </c>
      <c r="C33" s="12" t="s">
        <v>36</v>
      </c>
      <c r="D33" s="12" t="s">
        <v>341</v>
      </c>
      <c r="E33" s="12"/>
      <c r="F33" s="12"/>
    </row>
    <row r="34" spans="1:7" ht="15.75" customHeight="1">
      <c r="A34" s="13" t="s">
        <v>152</v>
      </c>
      <c r="B34" s="14" t="s">
        <v>153</v>
      </c>
      <c r="C34" s="15" t="s">
        <v>154</v>
      </c>
      <c r="D34" s="88" t="s">
        <v>340</v>
      </c>
      <c r="E34" s="12"/>
      <c r="F34" s="12"/>
    </row>
    <row r="35" spans="1:7" ht="15.75" customHeight="1"/>
    <row r="36" spans="1:7" ht="15.75" customHeight="1">
      <c r="A36" s="16"/>
      <c r="B36" s="17" t="s">
        <v>42</v>
      </c>
      <c r="C36" s="17" t="s">
        <v>43</v>
      </c>
      <c r="D36" s="17" t="s">
        <v>44</v>
      </c>
      <c r="E36" s="17" t="s">
        <v>45</v>
      </c>
      <c r="F36" s="17" t="s">
        <v>46</v>
      </c>
      <c r="G36" s="17" t="s">
        <v>47</v>
      </c>
    </row>
    <row r="37" spans="1:7" ht="15.75" customHeight="1">
      <c r="A37" s="11" t="s">
        <v>146</v>
      </c>
      <c r="B37" s="11">
        <v>471600</v>
      </c>
      <c r="D37" s="11">
        <v>960200</v>
      </c>
      <c r="F37" s="11">
        <v>1432500</v>
      </c>
      <c r="G37" s="18">
        <v>0.22</v>
      </c>
    </row>
    <row r="38" spans="1:7" ht="15.75" customHeight="1">
      <c r="A38" s="11" t="s">
        <v>51</v>
      </c>
      <c r="B38" s="11">
        <v>108400</v>
      </c>
      <c r="C38" s="18">
        <v>0.23</v>
      </c>
      <c r="D38" s="11">
        <v>208100</v>
      </c>
      <c r="E38" s="18">
        <v>0.217</v>
      </c>
      <c r="F38" s="11">
        <v>311000</v>
      </c>
      <c r="G38" s="11" t="s">
        <v>65</v>
      </c>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L1000"/>
  <sheetViews>
    <sheetView topLeftCell="A23" workbookViewId="0">
      <selection activeCell="D36" sqref="D36"/>
    </sheetView>
  </sheetViews>
  <sheetFormatPr baseColWidth="10" defaultColWidth="14.453125" defaultRowHeight="15" customHeight="1"/>
  <cols>
    <col min="1" max="1" width="51.54296875" customWidth="1"/>
    <col min="2" max="2" width="12.7265625" customWidth="1"/>
    <col min="3" max="3" width="15.453125" customWidth="1"/>
    <col min="4" max="4" width="15.81640625" customWidth="1"/>
    <col min="5" max="5" width="12.54296875" customWidth="1"/>
    <col min="6" max="12" width="8.7265625" customWidth="1"/>
  </cols>
  <sheetData>
    <row r="1" spans="1:12" ht="14.5">
      <c r="A1" s="53" t="s">
        <v>316</v>
      </c>
      <c r="B1" s="53" t="s">
        <v>317</v>
      </c>
    </row>
    <row r="2" spans="1:12" ht="15.75" customHeight="1">
      <c r="A2" s="52" t="s">
        <v>155</v>
      </c>
      <c r="B2" s="67" t="s">
        <v>338</v>
      </c>
    </row>
    <row r="3" spans="1:12" ht="15.75" customHeight="1">
      <c r="K3" s="38"/>
      <c r="L3" s="38"/>
    </row>
    <row r="4" spans="1:12" ht="15.75" customHeight="1">
      <c r="A4" s="54" t="s">
        <v>100</v>
      </c>
      <c r="C4" s="24">
        <v>150655350</v>
      </c>
      <c r="D4" s="24">
        <v>150655350</v>
      </c>
      <c r="E4" s="24">
        <v>150655350</v>
      </c>
    </row>
    <row r="5" spans="1:12" ht="15.75" customHeight="1">
      <c r="A5" s="22"/>
      <c r="B5" s="22"/>
      <c r="C5" s="22"/>
      <c r="D5" s="22"/>
      <c r="E5" s="22"/>
    </row>
    <row r="6" spans="1:12" ht="15.75" customHeight="1">
      <c r="A6" s="22" t="s">
        <v>6</v>
      </c>
      <c r="B6" s="22">
        <v>2021</v>
      </c>
      <c r="C6" s="22">
        <v>2022</v>
      </c>
      <c r="D6" s="22">
        <v>2023</v>
      </c>
      <c r="E6" s="22">
        <v>2024</v>
      </c>
    </row>
    <row r="7" spans="1:12" ht="15.75" customHeight="1">
      <c r="A7" s="24" t="s">
        <v>11</v>
      </c>
      <c r="B7" s="24">
        <v>2445600</v>
      </c>
      <c r="C7" s="24">
        <v>1935600</v>
      </c>
      <c r="D7" s="24">
        <v>791295</v>
      </c>
      <c r="E7" s="24">
        <v>944705</v>
      </c>
    </row>
    <row r="8" spans="1:12" ht="15.75" customHeight="1">
      <c r="A8" s="24" t="s">
        <v>12</v>
      </c>
      <c r="B8" s="24" t="s">
        <v>65</v>
      </c>
      <c r="C8" s="24" t="s">
        <v>65</v>
      </c>
      <c r="D8" s="24" t="s">
        <v>65</v>
      </c>
      <c r="E8" s="24" t="s">
        <v>65</v>
      </c>
    </row>
    <row r="9" spans="1:12" ht="15.75" customHeight="1">
      <c r="A9" s="24" t="s">
        <v>13</v>
      </c>
      <c r="B9" s="24">
        <v>1755000</v>
      </c>
      <c r="C9" s="24">
        <v>2017700</v>
      </c>
      <c r="D9" s="24">
        <v>2074700</v>
      </c>
      <c r="E9" s="24">
        <v>2309100</v>
      </c>
    </row>
    <row r="10" spans="1:12" ht="15.75" customHeight="1">
      <c r="A10" s="24" t="s">
        <v>14</v>
      </c>
      <c r="B10" s="24">
        <v>652400</v>
      </c>
      <c r="C10" s="24">
        <v>645800</v>
      </c>
      <c r="D10" s="24">
        <v>633500</v>
      </c>
      <c r="E10" s="24">
        <v>616100</v>
      </c>
    </row>
    <row r="11" spans="1:12" ht="15.75" customHeight="1">
      <c r="A11" s="24" t="s">
        <v>15</v>
      </c>
      <c r="B11" s="24">
        <v>791206</v>
      </c>
      <c r="C11" s="24">
        <v>1097700</v>
      </c>
      <c r="D11" s="24">
        <v>1178800</v>
      </c>
      <c r="E11" s="24">
        <v>1304300</v>
      </c>
    </row>
    <row r="12" spans="1:12" ht="15.75" customHeight="1">
      <c r="A12" s="24" t="s">
        <v>16</v>
      </c>
      <c r="B12" s="24">
        <v>965000</v>
      </c>
      <c r="C12" s="24">
        <v>965000</v>
      </c>
      <c r="D12" s="24">
        <v>1084100</v>
      </c>
      <c r="E12" s="24">
        <v>1016500</v>
      </c>
    </row>
    <row r="13" spans="1:12" ht="15.75" customHeight="1">
      <c r="A13" s="24" t="s">
        <v>17</v>
      </c>
      <c r="B13" s="24"/>
      <c r="C13" s="24" t="s">
        <v>65</v>
      </c>
      <c r="D13" s="24" t="s">
        <v>65</v>
      </c>
      <c r="E13" s="24" t="s">
        <v>65</v>
      </c>
    </row>
    <row r="14" spans="1:12" ht="15.75" customHeight="1">
      <c r="A14" s="24" t="s">
        <v>18</v>
      </c>
      <c r="B14" s="24">
        <v>234900</v>
      </c>
      <c r="C14" s="24">
        <v>249900</v>
      </c>
      <c r="D14" s="24">
        <v>242800</v>
      </c>
      <c r="E14" s="24">
        <v>239000</v>
      </c>
    </row>
    <row r="15" spans="1:12" ht="15.75" customHeight="1">
      <c r="A15" s="24" t="s">
        <v>19</v>
      </c>
      <c r="B15" s="24">
        <v>245800</v>
      </c>
      <c r="C15" s="24">
        <v>260900</v>
      </c>
      <c r="D15" s="24">
        <v>263300</v>
      </c>
      <c r="E15" s="24">
        <v>258000</v>
      </c>
    </row>
    <row r="16" spans="1:12" ht="15.75" customHeight="1">
      <c r="A16" s="24" t="s">
        <v>20</v>
      </c>
      <c r="B16" s="24">
        <v>375200</v>
      </c>
      <c r="C16" s="24">
        <v>407800</v>
      </c>
      <c r="D16" s="24">
        <v>417300</v>
      </c>
      <c r="E16" s="24">
        <v>407000</v>
      </c>
    </row>
    <row r="17" spans="1:9" ht="15.75" customHeight="1">
      <c r="A17" s="24" t="s">
        <v>21</v>
      </c>
      <c r="B17" s="24">
        <v>156100</v>
      </c>
      <c r="C17" s="24">
        <v>153700</v>
      </c>
      <c r="D17" s="24">
        <v>158300</v>
      </c>
      <c r="E17" s="24">
        <v>155000</v>
      </c>
    </row>
    <row r="18" spans="1:9" ht="15.75" customHeight="1">
      <c r="A18" s="24" t="s">
        <v>22</v>
      </c>
      <c r="B18" s="24" t="s">
        <v>65</v>
      </c>
      <c r="C18" s="24" t="s">
        <v>65</v>
      </c>
      <c r="D18" s="24">
        <v>10.33</v>
      </c>
      <c r="E18" s="24">
        <v>16.940000000000001</v>
      </c>
    </row>
    <row r="19" spans="1:9" ht="15.75" customHeight="1">
      <c r="A19" s="24" t="s">
        <v>23</v>
      </c>
      <c r="B19" s="24">
        <v>717</v>
      </c>
      <c r="C19" s="24">
        <v>753</v>
      </c>
      <c r="D19" s="24">
        <v>780</v>
      </c>
      <c r="E19" s="24">
        <v>660</v>
      </c>
    </row>
    <row r="20" spans="1:9" ht="15.75" customHeight="1">
      <c r="A20" s="24" t="s">
        <v>24</v>
      </c>
      <c r="B20" s="24">
        <v>194300</v>
      </c>
      <c r="C20" s="24">
        <v>172700</v>
      </c>
      <c r="D20" s="24">
        <v>280600</v>
      </c>
      <c r="E20" s="24">
        <v>247800</v>
      </c>
    </row>
    <row r="21" spans="1:9" ht="15.75" customHeight="1">
      <c r="A21" s="24" t="s">
        <v>25</v>
      </c>
      <c r="B21" s="24" t="s">
        <v>65</v>
      </c>
      <c r="C21" s="11">
        <v>10210</v>
      </c>
      <c r="D21" s="11">
        <v>10900</v>
      </c>
      <c r="E21" s="11">
        <v>17500</v>
      </c>
    </row>
    <row r="22" spans="1:9" ht="15.75" customHeight="1">
      <c r="A22" s="24" t="s">
        <v>26</v>
      </c>
      <c r="B22" s="24" t="s">
        <v>65</v>
      </c>
      <c r="C22" s="24" t="s">
        <v>65</v>
      </c>
      <c r="D22" s="24" t="s">
        <v>65</v>
      </c>
      <c r="E22" s="24" t="s">
        <v>65</v>
      </c>
    </row>
    <row r="23" spans="1:9" ht="15.75" customHeight="1">
      <c r="A23" s="24" t="s">
        <v>27</v>
      </c>
      <c r="C23" s="24">
        <v>126008</v>
      </c>
      <c r="D23" s="24">
        <v>120288</v>
      </c>
      <c r="E23" s="24">
        <v>107923</v>
      </c>
    </row>
    <row r="24" spans="1:9" ht="15.75" customHeight="1">
      <c r="H24" s="17"/>
      <c r="I24" s="17"/>
    </row>
    <row r="25" spans="1:9" ht="15.75" customHeight="1"/>
    <row r="26" spans="1:9" ht="15.75" customHeight="1">
      <c r="A26" s="22" t="s">
        <v>28</v>
      </c>
      <c r="B26" s="22" t="s">
        <v>29</v>
      </c>
      <c r="E26" s="17"/>
      <c r="F26" s="17"/>
      <c r="G26" s="17"/>
    </row>
    <row r="27" spans="1:9" ht="15.75" customHeight="1">
      <c r="A27" s="24" t="s">
        <v>156</v>
      </c>
      <c r="B27" s="27">
        <v>0.58360000000000001</v>
      </c>
    </row>
    <row r="28" spans="1:9" ht="15.75" customHeight="1">
      <c r="A28" s="24" t="s">
        <v>157</v>
      </c>
      <c r="B28" s="27">
        <v>0.15720000000000001</v>
      </c>
    </row>
    <row r="29" spans="1:9" ht="15.75" customHeight="1">
      <c r="A29" s="24" t="s">
        <v>158</v>
      </c>
      <c r="B29" s="27">
        <v>0.10299999999999999</v>
      </c>
    </row>
    <row r="30" spans="1:9" ht="15.75" customHeight="1">
      <c r="A30" s="24" t="s">
        <v>159</v>
      </c>
      <c r="B30" s="27">
        <v>9.4500000000000001E-2</v>
      </c>
    </row>
    <row r="31" spans="1:9" ht="15.75" customHeight="1">
      <c r="A31" s="24" t="s">
        <v>160</v>
      </c>
      <c r="B31" s="19">
        <v>0.05</v>
      </c>
    </row>
    <row r="32" spans="1:9" ht="15.75" customHeight="1">
      <c r="A32" s="24" t="s">
        <v>161</v>
      </c>
      <c r="B32" s="27">
        <v>1.17E-2</v>
      </c>
    </row>
    <row r="33" spans="1:7" ht="15.75" customHeight="1"/>
    <row r="34" spans="1:7" ht="15.75" customHeight="1">
      <c r="A34" s="53" t="s">
        <v>33</v>
      </c>
    </row>
    <row r="35" spans="1:7" ht="15.75" customHeight="1"/>
    <row r="36" spans="1:7" ht="15.75" customHeight="1">
      <c r="A36" s="12" t="s">
        <v>34</v>
      </c>
      <c r="B36" s="12" t="s">
        <v>35</v>
      </c>
      <c r="C36" s="12" t="s">
        <v>36</v>
      </c>
      <c r="D36" s="12" t="s">
        <v>341</v>
      </c>
      <c r="E36" s="12"/>
    </row>
    <row r="37" spans="1:7" ht="15.75" customHeight="1">
      <c r="A37" s="13" t="s">
        <v>162</v>
      </c>
      <c r="B37" s="14" t="s">
        <v>162</v>
      </c>
      <c r="C37" s="15" t="s">
        <v>163</v>
      </c>
      <c r="D37" s="15" t="s">
        <v>164</v>
      </c>
      <c r="E37" s="12"/>
    </row>
    <row r="38" spans="1:7" ht="15.75" customHeight="1"/>
    <row r="39" spans="1:7" ht="15.75" customHeight="1">
      <c r="A39" s="16"/>
      <c r="B39" s="17" t="s">
        <v>42</v>
      </c>
      <c r="C39" s="17" t="s">
        <v>43</v>
      </c>
      <c r="D39" s="17" t="s">
        <v>44</v>
      </c>
      <c r="E39" s="17" t="s">
        <v>45</v>
      </c>
      <c r="F39" s="17" t="s">
        <v>46</v>
      </c>
      <c r="G39" s="17" t="s">
        <v>47</v>
      </c>
    </row>
    <row r="40" spans="1:7" ht="15.75" customHeight="1">
      <c r="A40" s="11" t="s">
        <v>146</v>
      </c>
      <c r="B40" s="11">
        <v>283600</v>
      </c>
      <c r="D40" s="11">
        <v>579300</v>
      </c>
      <c r="F40" s="11">
        <v>875700</v>
      </c>
      <c r="G40" s="18">
        <v>2E-3</v>
      </c>
    </row>
    <row r="41" spans="1:7" ht="15.75" customHeight="1">
      <c r="A41" s="11" t="s">
        <v>51</v>
      </c>
      <c r="B41" s="11">
        <v>38600</v>
      </c>
      <c r="C41" s="18">
        <v>1.9E-2</v>
      </c>
      <c r="D41" s="11">
        <v>76300</v>
      </c>
      <c r="E41" s="18">
        <v>5.0000000000000001E-3</v>
      </c>
      <c r="F41" s="11">
        <v>118800</v>
      </c>
      <c r="G41" s="11" t="s">
        <v>65</v>
      </c>
    </row>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K1000"/>
  <sheetViews>
    <sheetView topLeftCell="A22" workbookViewId="0">
      <selection activeCell="D32" sqref="D32"/>
    </sheetView>
  </sheetViews>
  <sheetFormatPr baseColWidth="10" defaultColWidth="14.453125" defaultRowHeight="15" customHeight="1"/>
  <cols>
    <col min="1" max="1" width="47.7265625" customWidth="1"/>
    <col min="2" max="2" width="12.7265625" customWidth="1"/>
    <col min="3" max="6" width="8.7265625" customWidth="1"/>
  </cols>
  <sheetData>
    <row r="1" spans="1:5" ht="14.5">
      <c r="A1" s="53" t="s">
        <v>315</v>
      </c>
      <c r="B1" s="53" t="s">
        <v>317</v>
      </c>
    </row>
    <row r="2" spans="1:5" ht="72.5">
      <c r="A2" s="52" t="s">
        <v>165</v>
      </c>
      <c r="B2" s="67" t="s">
        <v>337</v>
      </c>
    </row>
    <row r="3" spans="1:5" ht="15.75" customHeight="1"/>
    <row r="4" spans="1:5" ht="15.75" customHeight="1">
      <c r="A4" s="54" t="s">
        <v>100</v>
      </c>
      <c r="B4" s="24">
        <v>68000000</v>
      </c>
      <c r="C4" s="24">
        <v>68000000</v>
      </c>
      <c r="D4" s="24">
        <v>68000000</v>
      </c>
      <c r="E4" s="24">
        <v>68000000</v>
      </c>
    </row>
    <row r="5" spans="1:5" ht="15.75" customHeight="1"/>
    <row r="6" spans="1:5" ht="15.75" customHeight="1">
      <c r="A6" s="22" t="s">
        <v>6</v>
      </c>
      <c r="B6" s="22">
        <v>2021</v>
      </c>
      <c r="C6" s="22">
        <v>2022</v>
      </c>
      <c r="D6" s="22">
        <v>2023</v>
      </c>
      <c r="E6" s="22">
        <v>2024</v>
      </c>
    </row>
    <row r="7" spans="1:5" ht="15.75" customHeight="1">
      <c r="A7" s="24" t="s">
        <v>11</v>
      </c>
      <c r="B7" s="24">
        <v>167280</v>
      </c>
      <c r="C7" s="24">
        <v>176772</v>
      </c>
      <c r="D7" s="24">
        <v>185463</v>
      </c>
      <c r="E7" s="24">
        <v>196302</v>
      </c>
    </row>
    <row r="8" spans="1:5" ht="15.75" customHeight="1">
      <c r="A8" s="24" t="s">
        <v>12</v>
      </c>
      <c r="B8" s="24">
        <v>41803</v>
      </c>
      <c r="C8" s="24">
        <v>40855</v>
      </c>
      <c r="D8" s="24">
        <v>46575</v>
      </c>
      <c r="E8" s="24">
        <v>53650</v>
      </c>
    </row>
    <row r="9" spans="1:5" ht="15.75" customHeight="1">
      <c r="A9" s="24" t="s">
        <v>13</v>
      </c>
      <c r="B9" s="24">
        <v>241725</v>
      </c>
      <c r="C9" s="24">
        <v>269895</v>
      </c>
      <c r="D9" s="24">
        <v>288000</v>
      </c>
      <c r="E9" s="24">
        <v>301493</v>
      </c>
    </row>
    <row r="10" spans="1:5" ht="15.75" customHeight="1">
      <c r="A10" s="24" t="s">
        <v>14</v>
      </c>
      <c r="B10" s="24">
        <v>73174</v>
      </c>
      <c r="C10" s="24">
        <v>63172</v>
      </c>
      <c r="D10" s="24">
        <v>61929</v>
      </c>
      <c r="E10" s="24">
        <v>62561</v>
      </c>
    </row>
    <row r="11" spans="1:5" ht="15.75" customHeight="1">
      <c r="A11" s="24" t="s">
        <v>15</v>
      </c>
      <c r="B11" s="24">
        <v>84914</v>
      </c>
      <c r="C11" s="24">
        <v>104450</v>
      </c>
      <c r="D11" s="24">
        <v>108665</v>
      </c>
      <c r="E11" s="24">
        <v>126228</v>
      </c>
    </row>
    <row r="12" spans="1:5" ht="15.75" customHeight="1">
      <c r="A12" s="24" t="s">
        <v>16</v>
      </c>
      <c r="B12" s="24">
        <v>154881</v>
      </c>
      <c r="C12" s="24">
        <v>145625</v>
      </c>
      <c r="D12" s="24">
        <v>139154</v>
      </c>
      <c r="E12" s="24">
        <v>141841</v>
      </c>
    </row>
    <row r="13" spans="1:5" ht="15.75" customHeight="1">
      <c r="A13" s="24" t="s">
        <v>17</v>
      </c>
      <c r="B13" s="24" t="s">
        <v>65</v>
      </c>
      <c r="C13" s="24" t="s">
        <v>65</v>
      </c>
      <c r="D13" s="24" t="s">
        <v>65</v>
      </c>
      <c r="E13" s="24" t="s">
        <v>65</v>
      </c>
    </row>
    <row r="14" spans="1:5" ht="15.75" customHeight="1">
      <c r="A14" s="24" t="s">
        <v>18</v>
      </c>
      <c r="B14" s="24">
        <v>45136</v>
      </c>
      <c r="C14" s="24">
        <v>32610</v>
      </c>
      <c r="D14" s="24">
        <v>30269</v>
      </c>
      <c r="E14" s="24">
        <v>30607</v>
      </c>
    </row>
    <row r="15" spans="1:5" ht="15.75" customHeight="1">
      <c r="A15" s="24" t="s">
        <v>19</v>
      </c>
      <c r="B15" s="24">
        <v>48605</v>
      </c>
      <c r="C15" s="24">
        <v>35678</v>
      </c>
      <c r="D15" s="24">
        <v>33312</v>
      </c>
      <c r="E15" s="24">
        <v>33565</v>
      </c>
    </row>
    <row r="16" spans="1:5" ht="15.75" customHeight="1">
      <c r="A16" s="24" t="s">
        <v>20</v>
      </c>
      <c r="B16" s="24">
        <v>79949</v>
      </c>
      <c r="C16" s="24">
        <v>68643</v>
      </c>
      <c r="D16" s="24">
        <v>64786</v>
      </c>
      <c r="E16" s="24">
        <v>64219</v>
      </c>
    </row>
    <row r="17" spans="1:11" ht="15.75" customHeight="1">
      <c r="A17" s="24" t="s">
        <v>21</v>
      </c>
      <c r="B17" s="24">
        <v>32374</v>
      </c>
      <c r="C17" s="24">
        <v>22372</v>
      </c>
      <c r="D17" s="24">
        <v>21129</v>
      </c>
      <c r="E17" s="24">
        <v>21471</v>
      </c>
    </row>
    <row r="18" spans="1:11" ht="15.75" customHeight="1">
      <c r="A18" s="24" t="s">
        <v>22</v>
      </c>
      <c r="B18" s="24">
        <v>8.3000000000000007</v>
      </c>
      <c r="C18" s="24">
        <v>9.6999999999999993</v>
      </c>
      <c r="D18" s="24">
        <v>7.3</v>
      </c>
      <c r="E18" s="24">
        <v>7.3</v>
      </c>
    </row>
    <row r="19" spans="1:11" ht="15.75" customHeight="1">
      <c r="A19" s="24" t="s">
        <v>23</v>
      </c>
      <c r="B19" s="11">
        <v>416.58</v>
      </c>
      <c r="C19" s="11">
        <v>287.88</v>
      </c>
      <c r="D19" s="11">
        <v>266.45</v>
      </c>
      <c r="E19" s="11">
        <v>189.53</v>
      </c>
    </row>
    <row r="20" spans="1:11" ht="15.75" customHeight="1">
      <c r="A20" s="24" t="s">
        <v>24</v>
      </c>
      <c r="B20" s="24">
        <v>68156</v>
      </c>
      <c r="C20" s="24">
        <v>61609</v>
      </c>
      <c r="D20" s="24">
        <v>66985</v>
      </c>
      <c r="E20" s="24">
        <v>67226</v>
      </c>
    </row>
    <row r="21" spans="1:11" ht="15.75" customHeight="1">
      <c r="A21" s="24" t="s">
        <v>25</v>
      </c>
      <c r="B21" s="24">
        <v>3945</v>
      </c>
      <c r="C21" s="24">
        <v>3200</v>
      </c>
      <c r="D21" s="24">
        <v>2280</v>
      </c>
      <c r="E21" s="24">
        <v>2295</v>
      </c>
    </row>
    <row r="22" spans="1:11" ht="15.75" customHeight="1">
      <c r="A22" s="24" t="s">
        <v>26</v>
      </c>
      <c r="B22" s="24" t="s">
        <v>65</v>
      </c>
      <c r="C22" s="24" t="s">
        <v>65</v>
      </c>
      <c r="D22" s="24" t="s">
        <v>65</v>
      </c>
      <c r="E22" s="24" t="s">
        <v>65</v>
      </c>
    </row>
    <row r="23" spans="1:11" ht="15.75" customHeight="1">
      <c r="A23" s="24" t="s">
        <v>166</v>
      </c>
      <c r="B23" s="24">
        <v>32374</v>
      </c>
      <c r="C23" s="24">
        <v>22372</v>
      </c>
      <c r="D23" s="24">
        <v>20706</v>
      </c>
      <c r="E23" s="24">
        <v>14729</v>
      </c>
    </row>
    <row r="24" spans="1:11" ht="15.75" customHeight="1"/>
    <row r="25" spans="1:11" ht="15.75" customHeight="1">
      <c r="A25" s="35" t="s">
        <v>28</v>
      </c>
      <c r="B25" s="35" t="s">
        <v>29</v>
      </c>
      <c r="H25" s="17"/>
      <c r="I25" s="17"/>
      <c r="J25" s="17"/>
      <c r="K25" s="17"/>
    </row>
    <row r="26" spans="1:11" ht="15.75" customHeight="1">
      <c r="A26" s="36" t="s">
        <v>167</v>
      </c>
      <c r="B26" s="39">
        <v>0.61</v>
      </c>
    </row>
    <row r="27" spans="1:11" ht="15.75" customHeight="1">
      <c r="A27" s="36" t="s">
        <v>31</v>
      </c>
      <c r="B27" s="39">
        <v>0.23</v>
      </c>
      <c r="G27" s="17"/>
    </row>
    <row r="28" spans="1:11" ht="15.75" customHeight="1">
      <c r="A28" s="36" t="s">
        <v>168</v>
      </c>
      <c r="B28" s="39">
        <v>0.16</v>
      </c>
    </row>
    <row r="29" spans="1:11" ht="15.75" customHeight="1"/>
    <row r="30" spans="1:11" ht="15.75" customHeight="1">
      <c r="A30" s="53" t="s">
        <v>33</v>
      </c>
    </row>
    <row r="31" spans="1:11" ht="15.75" customHeight="1"/>
    <row r="32" spans="1:11" ht="15.75" customHeight="1">
      <c r="A32" s="12" t="s">
        <v>34</v>
      </c>
      <c r="B32" s="12" t="s">
        <v>35</v>
      </c>
      <c r="C32" s="12" t="s">
        <v>36</v>
      </c>
      <c r="D32" s="12" t="s">
        <v>341</v>
      </c>
      <c r="E32" s="12"/>
    </row>
    <row r="33" spans="1:7" ht="15.75" customHeight="1">
      <c r="A33" s="13" t="s">
        <v>169</v>
      </c>
      <c r="B33" s="14" t="s">
        <v>170</v>
      </c>
      <c r="C33" s="15" t="s">
        <v>171</v>
      </c>
      <c r="D33" s="15"/>
      <c r="E33" s="12"/>
    </row>
    <row r="34" spans="1:7" ht="15.75" customHeight="1"/>
    <row r="35" spans="1:7" ht="15.75" customHeight="1">
      <c r="A35" s="16"/>
      <c r="B35" s="17" t="s">
        <v>42</v>
      </c>
      <c r="C35" s="17" t="s">
        <v>43</v>
      </c>
      <c r="D35" s="17" t="s">
        <v>44</v>
      </c>
      <c r="E35" s="17" t="s">
        <v>45</v>
      </c>
      <c r="F35" s="17" t="s">
        <v>46</v>
      </c>
      <c r="G35" s="17" t="s">
        <v>47</v>
      </c>
    </row>
    <row r="36" spans="1:7" ht="15.75" customHeight="1">
      <c r="A36" s="11" t="s">
        <v>146</v>
      </c>
      <c r="B36" s="11">
        <v>73806</v>
      </c>
      <c r="D36" s="11" t="s">
        <v>65</v>
      </c>
      <c r="E36" s="11" t="s">
        <v>65</v>
      </c>
      <c r="F36" s="11">
        <v>110639</v>
      </c>
    </row>
    <row r="37" spans="1:7" ht="15.75" customHeight="1">
      <c r="A37" s="11" t="s">
        <v>51</v>
      </c>
      <c r="B37" s="11">
        <v>7670</v>
      </c>
      <c r="C37" s="18">
        <v>-0.17799999999999999</v>
      </c>
      <c r="D37" s="11">
        <v>3700</v>
      </c>
      <c r="E37" s="11" t="s">
        <v>65</v>
      </c>
      <c r="F37" s="11">
        <v>10179</v>
      </c>
      <c r="G37" s="18">
        <v>-0.22700000000000001</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I1000"/>
  <sheetViews>
    <sheetView topLeftCell="A28" workbookViewId="0">
      <selection activeCell="D34" sqref="D34"/>
    </sheetView>
  </sheetViews>
  <sheetFormatPr baseColWidth="10" defaultColWidth="14.453125" defaultRowHeight="15" customHeight="1"/>
  <cols>
    <col min="1" max="1" width="48.26953125" customWidth="1"/>
    <col min="2" max="5" width="12.7265625" customWidth="1"/>
    <col min="6" max="9" width="8.7265625" customWidth="1"/>
  </cols>
  <sheetData>
    <row r="1" spans="1:5" ht="14.5">
      <c r="A1" s="53" t="s">
        <v>315</v>
      </c>
      <c r="B1" s="53" t="s">
        <v>317</v>
      </c>
    </row>
    <row r="2" spans="1:5" ht="72.5">
      <c r="A2" s="52" t="s">
        <v>172</v>
      </c>
      <c r="B2" s="67" t="s">
        <v>336</v>
      </c>
      <c r="C2" s="34"/>
      <c r="D2" s="34"/>
      <c r="E2" s="34"/>
    </row>
    <row r="3" spans="1:5" ht="15.75" customHeight="1"/>
    <row r="4" spans="1:5" ht="15.75" customHeight="1">
      <c r="A4" s="54" t="s">
        <v>100</v>
      </c>
      <c r="B4" s="24">
        <v>9000000</v>
      </c>
      <c r="C4" s="24">
        <v>9000000</v>
      </c>
      <c r="D4" s="24">
        <v>9000000</v>
      </c>
      <c r="E4" s="24">
        <v>9000000</v>
      </c>
    </row>
    <row r="5" spans="1:5" ht="15.75" customHeight="1"/>
    <row r="6" spans="1:5" ht="15.75" customHeight="1">
      <c r="A6" s="22" t="s">
        <v>6</v>
      </c>
      <c r="B6" s="22">
        <v>2021</v>
      </c>
      <c r="C6" s="22">
        <v>2022</v>
      </c>
      <c r="D6" s="22">
        <v>2023</v>
      </c>
      <c r="E6" s="22">
        <v>2024</v>
      </c>
    </row>
    <row r="7" spans="1:5" ht="15.75" customHeight="1">
      <c r="A7" s="24" t="s">
        <v>11</v>
      </c>
      <c r="B7" s="24">
        <v>39535</v>
      </c>
      <c r="C7" s="24">
        <v>45713</v>
      </c>
      <c r="D7" s="24">
        <v>49879</v>
      </c>
      <c r="E7" s="24">
        <v>58195</v>
      </c>
    </row>
    <row r="8" spans="1:5" ht="15.75" customHeight="1">
      <c r="A8" s="24" t="s">
        <v>12</v>
      </c>
      <c r="B8" s="24" t="s">
        <v>65</v>
      </c>
      <c r="C8" s="24" t="s">
        <v>65</v>
      </c>
      <c r="D8" s="24" t="s">
        <v>65</v>
      </c>
      <c r="E8" s="24" t="s">
        <v>65</v>
      </c>
    </row>
    <row r="9" spans="1:5" ht="15.75" customHeight="1">
      <c r="A9" s="24" t="s">
        <v>13</v>
      </c>
      <c r="B9" s="24">
        <v>297251</v>
      </c>
      <c r="C9" s="24">
        <v>353554</v>
      </c>
      <c r="D9" s="24">
        <v>381718</v>
      </c>
      <c r="E9" s="24">
        <v>432406</v>
      </c>
    </row>
    <row r="10" spans="1:5" ht="15.75" customHeight="1">
      <c r="A10" s="24" t="s">
        <v>14</v>
      </c>
      <c r="B10" s="24">
        <v>13599</v>
      </c>
      <c r="C10" s="24">
        <v>14263</v>
      </c>
      <c r="D10" s="24">
        <v>14845</v>
      </c>
      <c r="E10" s="24">
        <v>15030</v>
      </c>
    </row>
    <row r="11" spans="1:5" ht="15.75" customHeight="1">
      <c r="A11" s="24" t="s">
        <v>15</v>
      </c>
      <c r="B11" s="24">
        <v>175267</v>
      </c>
      <c r="C11" s="24">
        <v>202481</v>
      </c>
      <c r="D11" s="24">
        <v>230949</v>
      </c>
      <c r="E11" s="24">
        <v>278395</v>
      </c>
    </row>
    <row r="12" spans="1:5" ht="15.75" customHeight="1">
      <c r="A12" s="24" t="s">
        <v>16</v>
      </c>
      <c r="B12" s="24">
        <v>135514</v>
      </c>
      <c r="C12" s="24">
        <v>160671</v>
      </c>
      <c r="D12" s="24">
        <v>175458</v>
      </c>
      <c r="E12" s="24">
        <v>172235</v>
      </c>
    </row>
    <row r="13" spans="1:5" ht="15.75" customHeight="1">
      <c r="A13" s="24" t="s">
        <v>17</v>
      </c>
      <c r="B13" s="24" t="s">
        <v>65</v>
      </c>
      <c r="C13" s="24" t="s">
        <v>65</v>
      </c>
      <c r="D13" s="24" t="s">
        <v>65</v>
      </c>
      <c r="E13" s="24" t="s">
        <v>65</v>
      </c>
    </row>
    <row r="14" spans="1:5" ht="15.75" customHeight="1">
      <c r="A14" s="24" t="s">
        <v>18</v>
      </c>
      <c r="B14" s="24">
        <v>7233</v>
      </c>
      <c r="C14" s="24">
        <v>8048</v>
      </c>
      <c r="D14" s="24">
        <v>9278</v>
      </c>
      <c r="E14" s="24">
        <v>6220</v>
      </c>
    </row>
    <row r="15" spans="1:5" ht="15.75" customHeight="1">
      <c r="A15" s="24" t="s">
        <v>19</v>
      </c>
      <c r="B15" s="24">
        <v>6720</v>
      </c>
      <c r="C15" s="24">
        <v>8148</v>
      </c>
      <c r="D15" s="24">
        <v>9389</v>
      </c>
      <c r="E15" s="24">
        <v>6770</v>
      </c>
    </row>
    <row r="16" spans="1:5" ht="15.75" customHeight="1">
      <c r="A16" s="24" t="s">
        <v>20</v>
      </c>
      <c r="B16" s="24" t="s">
        <v>65</v>
      </c>
      <c r="C16" s="24" t="s">
        <v>65</v>
      </c>
      <c r="D16" s="24" t="s">
        <v>65</v>
      </c>
      <c r="E16" s="24" t="s">
        <v>65</v>
      </c>
    </row>
    <row r="17" spans="1:9" ht="15.75" customHeight="1">
      <c r="A17" s="24" t="s">
        <v>21</v>
      </c>
      <c r="B17" s="24">
        <v>4352</v>
      </c>
      <c r="C17" s="24">
        <v>4806</v>
      </c>
      <c r="D17" s="24">
        <v>4904</v>
      </c>
      <c r="E17" s="24">
        <v>3560</v>
      </c>
    </row>
    <row r="18" spans="1:9" ht="15.75" customHeight="1">
      <c r="A18" s="24" t="s">
        <v>22</v>
      </c>
      <c r="B18" s="24">
        <v>8.8800000000000008</v>
      </c>
      <c r="C18" s="24">
        <v>10.24</v>
      </c>
      <c r="D18" s="24">
        <v>8.75</v>
      </c>
      <c r="E18" s="24">
        <v>14.37</v>
      </c>
    </row>
    <row r="19" spans="1:9" ht="15.75" customHeight="1">
      <c r="A19" s="24" t="s">
        <v>23</v>
      </c>
      <c r="B19" s="11">
        <v>432</v>
      </c>
      <c r="C19" s="11">
        <v>450</v>
      </c>
      <c r="D19" s="11">
        <v>481.5</v>
      </c>
      <c r="E19" s="11">
        <v>352</v>
      </c>
      <c r="I19" s="40"/>
    </row>
    <row r="20" spans="1:9" ht="15.75" customHeight="1">
      <c r="A20" s="24" t="s">
        <v>24</v>
      </c>
      <c r="B20" s="24">
        <v>61585</v>
      </c>
      <c r="C20" s="24">
        <v>57922</v>
      </c>
      <c r="D20" s="24">
        <v>62574</v>
      </c>
      <c r="E20" s="24">
        <v>65170</v>
      </c>
    </row>
    <row r="21" spans="1:9" ht="15.75" customHeight="1">
      <c r="A21" s="24" t="s">
        <v>25</v>
      </c>
      <c r="B21" s="11">
        <v>4295</v>
      </c>
      <c r="C21" s="11">
        <v>5465</v>
      </c>
      <c r="D21" s="11">
        <v>4770</v>
      </c>
      <c r="E21" s="11">
        <v>5685</v>
      </c>
    </row>
    <row r="22" spans="1:9" ht="15.75" customHeight="1">
      <c r="A22" s="24" t="s">
        <v>26</v>
      </c>
      <c r="B22" s="24" t="s">
        <v>65</v>
      </c>
      <c r="C22" s="24" t="s">
        <v>65</v>
      </c>
      <c r="D22" s="24" t="s">
        <v>65</v>
      </c>
      <c r="E22" s="24" t="s">
        <v>65</v>
      </c>
    </row>
    <row r="23" spans="1:9" ht="15.75" customHeight="1">
      <c r="A23" s="24" t="s">
        <v>27</v>
      </c>
      <c r="B23" s="24">
        <v>4320</v>
      </c>
      <c r="C23" s="24">
        <v>4500</v>
      </c>
      <c r="D23" s="24">
        <v>4815</v>
      </c>
      <c r="E23" s="24">
        <v>3600</v>
      </c>
      <c r="H23" s="17"/>
    </row>
    <row r="24" spans="1:9" ht="15.75" customHeight="1"/>
    <row r="25" spans="1:9" ht="15.75" customHeight="1">
      <c r="A25" s="22" t="s">
        <v>28</v>
      </c>
      <c r="B25" s="22" t="s">
        <v>29</v>
      </c>
      <c r="D25" s="17"/>
      <c r="E25" s="17"/>
      <c r="F25" s="17"/>
      <c r="G25" s="17"/>
    </row>
    <row r="26" spans="1:9" ht="15.75" customHeight="1">
      <c r="A26" s="24" t="s">
        <v>173</v>
      </c>
      <c r="B26" s="27">
        <v>0.4607</v>
      </c>
    </row>
    <row r="27" spans="1:9" ht="15.75" customHeight="1">
      <c r="A27" s="24" t="s">
        <v>174</v>
      </c>
      <c r="B27" s="27">
        <v>0.39150000000000001</v>
      </c>
    </row>
    <row r="28" spans="1:9" ht="15.75" customHeight="1">
      <c r="A28" s="24" t="s">
        <v>175</v>
      </c>
      <c r="B28" s="27">
        <v>6.7199999999999996E-2</v>
      </c>
    </row>
    <row r="29" spans="1:9" ht="15.75" customHeight="1">
      <c r="A29" s="24" t="s">
        <v>176</v>
      </c>
      <c r="B29" s="27">
        <v>4.8099999999999997E-2</v>
      </c>
    </row>
    <row r="30" spans="1:9" ht="15.75" customHeight="1">
      <c r="A30" s="24" t="s">
        <v>160</v>
      </c>
      <c r="B30" s="27">
        <v>3.2500000000000001E-2</v>
      </c>
    </row>
    <row r="31" spans="1:9" ht="15.75" customHeight="1"/>
    <row r="32" spans="1:9" ht="15.75" customHeight="1">
      <c r="A32" s="53" t="s">
        <v>33</v>
      </c>
    </row>
    <row r="33" spans="1:7" ht="15.75" customHeight="1"/>
    <row r="34" spans="1:7" ht="15.75" customHeight="1">
      <c r="A34" s="12" t="s">
        <v>34</v>
      </c>
      <c r="B34" s="12" t="s">
        <v>35</v>
      </c>
      <c r="C34" s="12" t="s">
        <v>36</v>
      </c>
      <c r="D34" s="12" t="s">
        <v>341</v>
      </c>
      <c r="E34" s="12"/>
    </row>
    <row r="35" spans="1:7" ht="15.75" customHeight="1">
      <c r="A35" s="13" t="s">
        <v>177</v>
      </c>
      <c r="B35" s="14" t="s">
        <v>178</v>
      </c>
      <c r="C35" s="15" t="s">
        <v>179</v>
      </c>
      <c r="D35" s="15" t="s">
        <v>180</v>
      </c>
      <c r="E35" s="12"/>
    </row>
    <row r="36" spans="1:7" ht="15.75" customHeight="1"/>
    <row r="37" spans="1:7" ht="15.75" customHeight="1">
      <c r="A37" s="16"/>
      <c r="B37" s="17" t="s">
        <v>42</v>
      </c>
      <c r="C37" s="17" t="s">
        <v>43</v>
      </c>
      <c r="D37" s="17" t="s">
        <v>44</v>
      </c>
      <c r="E37" s="17" t="s">
        <v>45</v>
      </c>
      <c r="F37" s="17" t="s">
        <v>46</v>
      </c>
      <c r="G37" s="17" t="s">
        <v>47</v>
      </c>
    </row>
    <row r="38" spans="1:7" ht="15.75" customHeight="1">
      <c r="A38" s="11" t="s">
        <v>146</v>
      </c>
      <c r="B38" s="11">
        <v>41642</v>
      </c>
      <c r="D38" s="11">
        <v>82300</v>
      </c>
      <c r="F38" s="11" t="s">
        <v>65</v>
      </c>
      <c r="G38" s="11" t="s">
        <v>65</v>
      </c>
    </row>
    <row r="39" spans="1:7" ht="15.75" customHeight="1">
      <c r="A39" s="11" t="s">
        <v>51</v>
      </c>
      <c r="B39" s="11">
        <v>604</v>
      </c>
      <c r="C39" s="18">
        <v>0.17</v>
      </c>
      <c r="D39" s="11">
        <v>1355</v>
      </c>
      <c r="E39" s="18">
        <v>-0.24</v>
      </c>
      <c r="F39" s="11" t="s">
        <v>65</v>
      </c>
      <c r="G39" s="11" t="s">
        <v>65</v>
      </c>
    </row>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H1000"/>
  <sheetViews>
    <sheetView topLeftCell="A23" workbookViewId="0">
      <selection activeCell="D37" sqref="D37"/>
    </sheetView>
  </sheetViews>
  <sheetFormatPr baseColWidth="10" defaultColWidth="14.453125" defaultRowHeight="15" customHeight="1"/>
  <cols>
    <col min="1" max="1" width="51.08984375" customWidth="1"/>
    <col min="2" max="5" width="12.7265625" customWidth="1"/>
    <col min="6" max="6" width="8.7265625" customWidth="1"/>
  </cols>
  <sheetData>
    <row r="1" spans="1:5" ht="14.5">
      <c r="A1" s="53" t="s">
        <v>315</v>
      </c>
      <c r="B1" s="53" t="s">
        <v>317</v>
      </c>
    </row>
    <row r="2" spans="1:5" ht="87">
      <c r="A2" s="52" t="s">
        <v>181</v>
      </c>
      <c r="B2" s="67" t="s">
        <v>335</v>
      </c>
      <c r="C2" s="34"/>
      <c r="D2" s="34"/>
      <c r="E2" s="34"/>
    </row>
    <row r="3" spans="1:5" ht="15.75" customHeight="1"/>
    <row r="4" spans="1:5" ht="15.75" customHeight="1">
      <c r="A4" s="54" t="s">
        <v>100</v>
      </c>
      <c r="B4" s="24">
        <v>56000000</v>
      </c>
      <c r="C4" s="24">
        <v>56000000</v>
      </c>
      <c r="D4" s="24">
        <v>56000000</v>
      </c>
      <c r="E4" s="24">
        <v>56000000</v>
      </c>
    </row>
    <row r="5" spans="1:5" ht="15.75" customHeight="1"/>
    <row r="6" spans="1:5" ht="15.75" customHeight="1">
      <c r="A6" s="22" t="s">
        <v>6</v>
      </c>
      <c r="B6" s="22">
        <v>2021</v>
      </c>
      <c r="C6" s="22">
        <v>2022</v>
      </c>
      <c r="D6" s="22">
        <v>2023</v>
      </c>
      <c r="E6" s="22">
        <v>2024</v>
      </c>
    </row>
    <row r="7" spans="1:5" ht="15.75" customHeight="1">
      <c r="A7" s="24" t="s">
        <v>11</v>
      </c>
      <c r="B7" s="24">
        <v>122640</v>
      </c>
      <c r="C7" s="24">
        <v>130831</v>
      </c>
      <c r="D7" s="24">
        <v>138362</v>
      </c>
      <c r="E7" s="24">
        <v>151450</v>
      </c>
    </row>
    <row r="8" spans="1:5" ht="15.75" customHeight="1">
      <c r="A8" s="24" t="s">
        <v>12</v>
      </c>
      <c r="B8" s="24" t="s">
        <v>65</v>
      </c>
      <c r="C8" s="24" t="s">
        <v>65</v>
      </c>
      <c r="D8" s="24" t="s">
        <v>65</v>
      </c>
      <c r="E8" s="24" t="s">
        <v>65</v>
      </c>
    </row>
    <row r="9" spans="1:5" ht="15.75" customHeight="1">
      <c r="A9" s="24" t="s">
        <v>13</v>
      </c>
      <c r="B9" s="24">
        <v>1679593</v>
      </c>
      <c r="C9" s="24">
        <v>1816387</v>
      </c>
      <c r="D9" s="24">
        <v>1975051</v>
      </c>
      <c r="E9" s="24">
        <v>2019137</v>
      </c>
    </row>
    <row r="10" spans="1:5" ht="15.75" customHeight="1">
      <c r="A10" s="24" t="s">
        <v>14</v>
      </c>
      <c r="B10" s="24">
        <v>32335</v>
      </c>
      <c r="C10" s="24">
        <v>32624</v>
      </c>
      <c r="D10" s="24">
        <v>33437</v>
      </c>
      <c r="E10" s="24">
        <v>32910</v>
      </c>
    </row>
    <row r="11" spans="1:5" ht="15.75" customHeight="1">
      <c r="A11" s="24" t="s">
        <v>15</v>
      </c>
      <c r="B11" s="24">
        <v>343882</v>
      </c>
      <c r="C11" s="24">
        <v>354941</v>
      </c>
      <c r="D11" s="24">
        <v>354941</v>
      </c>
      <c r="E11" s="24">
        <v>284429</v>
      </c>
    </row>
    <row r="12" spans="1:5" ht="15.75" customHeight="1">
      <c r="A12" s="24" t="s">
        <v>16</v>
      </c>
      <c r="B12" s="24">
        <v>231783</v>
      </c>
      <c r="C12" s="24">
        <v>238854</v>
      </c>
      <c r="D12" s="24">
        <v>257218</v>
      </c>
      <c r="E12" s="24">
        <v>263294</v>
      </c>
    </row>
    <row r="13" spans="1:5" ht="15.75" customHeight="1">
      <c r="A13" s="24" t="s">
        <v>17</v>
      </c>
      <c r="B13" s="24">
        <v>82842</v>
      </c>
      <c r="C13" s="24">
        <v>88622</v>
      </c>
      <c r="D13" s="24">
        <v>93870</v>
      </c>
      <c r="E13" s="24">
        <v>96256</v>
      </c>
    </row>
    <row r="14" spans="1:5" ht="15.75" customHeight="1">
      <c r="A14" s="24" t="s">
        <v>18</v>
      </c>
      <c r="B14" s="24">
        <v>13456</v>
      </c>
      <c r="C14" s="24">
        <v>12956</v>
      </c>
      <c r="D14" s="24">
        <v>14022</v>
      </c>
      <c r="E14" s="24">
        <v>14165</v>
      </c>
    </row>
    <row r="15" spans="1:5" ht="15.75" customHeight="1">
      <c r="A15" s="24" t="s">
        <v>19</v>
      </c>
      <c r="B15" s="24">
        <v>15449</v>
      </c>
      <c r="C15" s="24">
        <v>15677</v>
      </c>
      <c r="D15" s="24">
        <v>16460</v>
      </c>
      <c r="E15" s="24">
        <v>16591</v>
      </c>
    </row>
    <row r="16" spans="1:5" ht="15.75" customHeight="1">
      <c r="A16" s="24" t="s">
        <v>20</v>
      </c>
      <c r="B16" s="24">
        <v>27698</v>
      </c>
      <c r="C16" s="24">
        <v>28805</v>
      </c>
      <c r="D16" s="24">
        <v>29082</v>
      </c>
      <c r="E16" s="24">
        <v>30174</v>
      </c>
    </row>
    <row r="17" spans="1:8" ht="15.75" customHeight="1">
      <c r="A17" s="24" t="s">
        <v>21</v>
      </c>
      <c r="B17" s="24">
        <v>9756</v>
      </c>
      <c r="C17" s="24">
        <v>9820</v>
      </c>
      <c r="D17" s="24">
        <v>10633</v>
      </c>
      <c r="E17" s="24">
        <v>10100</v>
      </c>
    </row>
    <row r="18" spans="1:8" ht="15.75" customHeight="1">
      <c r="A18" s="24" t="s">
        <v>22</v>
      </c>
      <c r="B18" s="24">
        <v>11.45</v>
      </c>
      <c r="C18" s="24">
        <v>11.35</v>
      </c>
      <c r="D18" s="24">
        <v>8.9499999999999993</v>
      </c>
      <c r="E18" s="24">
        <v>12.17</v>
      </c>
    </row>
    <row r="19" spans="1:8" ht="15.75" customHeight="1">
      <c r="A19" s="24" t="s">
        <v>23</v>
      </c>
      <c r="B19" s="11">
        <v>153.16</v>
      </c>
      <c r="C19" s="11">
        <v>157.5</v>
      </c>
      <c r="D19" s="11">
        <v>171</v>
      </c>
      <c r="E19" s="11">
        <v>158.4</v>
      </c>
    </row>
    <row r="20" spans="1:8" ht="15.75" customHeight="1">
      <c r="A20" s="24" t="s">
        <v>24</v>
      </c>
      <c r="B20" s="24">
        <v>57327</v>
      </c>
      <c r="C20" s="24">
        <v>56665</v>
      </c>
      <c r="D20" s="24">
        <v>57666</v>
      </c>
      <c r="E20" s="24">
        <v>59052</v>
      </c>
    </row>
    <row r="21" spans="1:8" ht="15.75" customHeight="1">
      <c r="A21" s="24" t="s">
        <v>25</v>
      </c>
      <c r="B21" s="24">
        <v>1995</v>
      </c>
      <c r="C21" s="24">
        <v>1990</v>
      </c>
      <c r="D21" s="24">
        <v>1700</v>
      </c>
      <c r="E21" s="24">
        <v>2195</v>
      </c>
    </row>
    <row r="22" spans="1:8" ht="15.75" customHeight="1">
      <c r="A22" s="24" t="s">
        <v>26</v>
      </c>
      <c r="B22" s="24" t="s">
        <v>65</v>
      </c>
      <c r="C22" s="24" t="s">
        <v>65</v>
      </c>
      <c r="D22" s="24" t="s">
        <v>65</v>
      </c>
      <c r="E22" s="24" t="s">
        <v>65</v>
      </c>
    </row>
    <row r="23" spans="1:8" ht="15.75" customHeight="1">
      <c r="A23" s="24" t="s">
        <v>27</v>
      </c>
      <c r="B23" s="24">
        <v>9530</v>
      </c>
      <c r="C23" s="24">
        <v>9800</v>
      </c>
      <c r="D23" s="24">
        <v>10640</v>
      </c>
      <c r="E23" s="24">
        <v>10080</v>
      </c>
      <c r="H23" s="17"/>
    </row>
    <row r="24" spans="1:8" ht="15.75" customHeight="1"/>
    <row r="25" spans="1:8" ht="15.75" customHeight="1">
      <c r="A25" s="22" t="s">
        <v>28</v>
      </c>
      <c r="B25" s="22" t="s">
        <v>29</v>
      </c>
      <c r="D25" s="17"/>
      <c r="E25" s="17"/>
      <c r="F25" s="17"/>
      <c r="G25" s="17"/>
    </row>
    <row r="26" spans="1:8" ht="15.75" customHeight="1">
      <c r="A26" s="24" t="s">
        <v>173</v>
      </c>
      <c r="B26" s="19">
        <v>0.47</v>
      </c>
    </row>
    <row r="27" spans="1:8" ht="15.75" customHeight="1">
      <c r="A27" s="24" t="s">
        <v>59</v>
      </c>
      <c r="B27" s="19">
        <v>0.21</v>
      </c>
    </row>
    <row r="28" spans="1:8" ht="15.75" customHeight="1">
      <c r="A28" s="24" t="s">
        <v>160</v>
      </c>
      <c r="B28" s="19">
        <v>0.15</v>
      </c>
    </row>
    <row r="29" spans="1:8" ht="15.75" customHeight="1">
      <c r="A29" s="24" t="s">
        <v>182</v>
      </c>
      <c r="B29" s="19">
        <v>7.0000000000000007E-2</v>
      </c>
    </row>
    <row r="30" spans="1:8" ht="15.75" customHeight="1">
      <c r="A30" s="24" t="s">
        <v>183</v>
      </c>
      <c r="B30" s="19">
        <v>0.05</v>
      </c>
    </row>
    <row r="31" spans="1:8" ht="15.75" customHeight="1">
      <c r="A31" s="24" t="s">
        <v>176</v>
      </c>
      <c r="B31" s="19">
        <v>0.03</v>
      </c>
    </row>
    <row r="32" spans="1:8" ht="15.75" customHeight="1">
      <c r="A32" s="24" t="s">
        <v>175</v>
      </c>
      <c r="B32" s="19">
        <v>0.01</v>
      </c>
    </row>
    <row r="33" spans="1:7" ht="15.75" customHeight="1">
      <c r="A33" s="24" t="s">
        <v>184</v>
      </c>
      <c r="B33" s="19">
        <v>0.01</v>
      </c>
    </row>
    <row r="34" spans="1:7" ht="15.75" customHeight="1"/>
    <row r="35" spans="1:7" ht="15.75" customHeight="1">
      <c r="A35" s="53" t="s">
        <v>33</v>
      </c>
    </row>
    <row r="36" spans="1:7" ht="15.75" customHeight="1"/>
    <row r="37" spans="1:7" ht="15.75" customHeight="1">
      <c r="A37" s="12" t="s">
        <v>34</v>
      </c>
      <c r="B37" s="12" t="s">
        <v>35</v>
      </c>
      <c r="C37" s="12" t="s">
        <v>36</v>
      </c>
      <c r="D37" s="12" t="s">
        <v>341</v>
      </c>
      <c r="E37" s="12"/>
    </row>
    <row r="38" spans="1:7" ht="15.75" customHeight="1">
      <c r="A38" s="13" t="s">
        <v>185</v>
      </c>
      <c r="B38" s="14" t="s">
        <v>186</v>
      </c>
      <c r="C38" s="15" t="s">
        <v>187</v>
      </c>
      <c r="D38" s="15" t="s">
        <v>188</v>
      </c>
      <c r="E38" s="12"/>
    </row>
    <row r="39" spans="1:7" ht="15.75" customHeight="1"/>
    <row r="40" spans="1:7" ht="15.75" customHeight="1">
      <c r="A40" s="16"/>
      <c r="B40" s="17" t="s">
        <v>42</v>
      </c>
      <c r="C40" s="17" t="s">
        <v>43</v>
      </c>
      <c r="D40" s="17" t="s">
        <v>44</v>
      </c>
      <c r="E40" s="17" t="s">
        <v>45</v>
      </c>
      <c r="F40" s="17" t="s">
        <v>46</v>
      </c>
      <c r="G40" s="17" t="s">
        <v>47</v>
      </c>
    </row>
    <row r="41" spans="1:7" ht="15.75" customHeight="1">
      <c r="A41" s="11" t="s">
        <v>146</v>
      </c>
      <c r="B41" s="11" t="s">
        <v>65</v>
      </c>
      <c r="C41" s="11" t="s">
        <v>65</v>
      </c>
      <c r="D41" s="11">
        <v>134923</v>
      </c>
      <c r="F41" s="11" t="s">
        <v>65</v>
      </c>
      <c r="G41" s="11" t="s">
        <v>65</v>
      </c>
    </row>
    <row r="42" spans="1:7" ht="15.75" customHeight="1">
      <c r="A42" s="11" t="s">
        <v>51</v>
      </c>
      <c r="B42" s="11" t="s">
        <v>65</v>
      </c>
      <c r="C42" s="11" t="s">
        <v>65</v>
      </c>
      <c r="D42" s="11">
        <v>5096</v>
      </c>
      <c r="E42" s="18">
        <v>0.13400000000000001</v>
      </c>
      <c r="F42" s="11" t="s">
        <v>65</v>
      </c>
      <c r="G42" s="11" t="s">
        <v>65</v>
      </c>
    </row>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J1000"/>
  <sheetViews>
    <sheetView topLeftCell="A15" workbookViewId="0">
      <selection activeCell="D31" sqref="D31"/>
    </sheetView>
  </sheetViews>
  <sheetFormatPr baseColWidth="10" defaultColWidth="14.453125" defaultRowHeight="15" customHeight="1"/>
  <cols>
    <col min="1" max="1" width="47.453125" customWidth="1"/>
    <col min="2" max="2" width="23.26953125" customWidth="1"/>
    <col min="3" max="3" width="14.36328125" customWidth="1"/>
    <col min="4" max="4" width="16.08984375" customWidth="1"/>
    <col min="5" max="5" width="17.7265625" customWidth="1"/>
    <col min="6" max="6" width="8.7265625" customWidth="1"/>
  </cols>
  <sheetData>
    <row r="1" spans="1:5" ht="14.5">
      <c r="A1" s="53" t="s">
        <v>315</v>
      </c>
      <c r="B1" s="53" t="s">
        <v>317</v>
      </c>
    </row>
    <row r="2" spans="1:5" ht="72.5">
      <c r="A2" s="52" t="s">
        <v>189</v>
      </c>
      <c r="B2" s="67" t="s">
        <v>334</v>
      </c>
    </row>
    <row r="3" spans="1:5" ht="15.75" customHeight="1"/>
    <row r="4" spans="1:5" ht="15.75" customHeight="1">
      <c r="A4" s="54" t="s">
        <v>100</v>
      </c>
      <c r="B4" s="24">
        <v>181371900</v>
      </c>
      <c r="C4" s="24">
        <v>181371900</v>
      </c>
      <c r="D4" s="24">
        <v>181371900</v>
      </c>
      <c r="E4" s="24">
        <v>181371900</v>
      </c>
    </row>
    <row r="5" spans="1:5" ht="15.75" customHeight="1"/>
    <row r="6" spans="1:5" ht="15.75" customHeight="1">
      <c r="A6" s="22" t="s">
        <v>6</v>
      </c>
      <c r="B6" s="22">
        <v>2021</v>
      </c>
      <c r="C6" s="22">
        <v>2022</v>
      </c>
      <c r="D6" s="22">
        <v>2023</v>
      </c>
      <c r="E6" s="22">
        <v>2024</v>
      </c>
    </row>
    <row r="7" spans="1:5" ht="15.75" customHeight="1">
      <c r="A7" s="24" t="s">
        <v>11</v>
      </c>
      <c r="B7" s="24">
        <v>16059</v>
      </c>
      <c r="C7" s="24">
        <v>16580</v>
      </c>
      <c r="D7" s="24">
        <v>17362</v>
      </c>
      <c r="E7" s="24">
        <v>24618</v>
      </c>
    </row>
    <row r="8" spans="1:5" ht="15.75" customHeight="1">
      <c r="A8" s="24" t="s">
        <v>12</v>
      </c>
      <c r="B8" s="24">
        <v>36994</v>
      </c>
      <c r="C8" s="24">
        <v>56348</v>
      </c>
      <c r="D8" s="24">
        <v>64294</v>
      </c>
      <c r="E8" s="24">
        <v>56530</v>
      </c>
    </row>
    <row r="9" spans="1:5" ht="15.75" customHeight="1">
      <c r="A9" s="24" t="s">
        <v>13</v>
      </c>
      <c r="B9" s="24">
        <v>66380</v>
      </c>
      <c r="C9" s="24">
        <v>86632</v>
      </c>
      <c r="D9" s="24">
        <v>87382</v>
      </c>
      <c r="E9" s="24">
        <v>85013</v>
      </c>
    </row>
    <row r="10" spans="1:5" ht="15.75" customHeight="1">
      <c r="A10" s="24" t="s">
        <v>14</v>
      </c>
      <c r="B10" s="24">
        <v>25619</v>
      </c>
      <c r="C10" s="24">
        <v>17133</v>
      </c>
      <c r="D10" s="24">
        <v>17979</v>
      </c>
      <c r="E10" s="24">
        <v>19452</v>
      </c>
    </row>
    <row r="11" spans="1:5" ht="15.75" customHeight="1">
      <c r="A11" s="24" t="s">
        <v>15</v>
      </c>
      <c r="B11" s="24">
        <v>39908</v>
      </c>
      <c r="C11" s="24">
        <v>68499</v>
      </c>
      <c r="D11" s="24">
        <v>66907</v>
      </c>
      <c r="E11" s="24">
        <v>60012</v>
      </c>
    </row>
    <row r="12" spans="1:5" ht="15.75" customHeight="1">
      <c r="A12" s="24" t="s">
        <v>16</v>
      </c>
      <c r="B12" s="24">
        <v>119731</v>
      </c>
      <c r="C12" s="24">
        <v>146375</v>
      </c>
      <c r="D12" s="24">
        <v>180161</v>
      </c>
      <c r="E12" s="24">
        <v>158313</v>
      </c>
    </row>
    <row r="13" spans="1:5" ht="15.75" customHeight="1">
      <c r="A13" s="24" t="s">
        <v>17</v>
      </c>
      <c r="B13" s="24">
        <v>17663</v>
      </c>
      <c r="C13" s="24">
        <v>19417</v>
      </c>
      <c r="D13" s="24">
        <v>22036</v>
      </c>
      <c r="E13" s="24">
        <v>19281</v>
      </c>
    </row>
    <row r="14" spans="1:5" ht="15.75" customHeight="1">
      <c r="A14" s="24" t="s">
        <v>18</v>
      </c>
      <c r="B14" s="24">
        <v>8996</v>
      </c>
      <c r="C14" s="24">
        <v>9427</v>
      </c>
      <c r="D14" s="24">
        <v>10332</v>
      </c>
      <c r="E14" s="24">
        <v>6941</v>
      </c>
    </row>
    <row r="15" spans="1:5" ht="15.75" customHeight="1">
      <c r="A15" s="24" t="s">
        <v>19</v>
      </c>
      <c r="B15" s="24">
        <v>9408</v>
      </c>
      <c r="C15" s="24">
        <v>9880</v>
      </c>
      <c r="D15" s="24">
        <v>11108</v>
      </c>
      <c r="E15" s="24">
        <v>7846</v>
      </c>
    </row>
    <row r="16" spans="1:5" ht="15.75" customHeight="1">
      <c r="A16" s="24" t="s">
        <v>20</v>
      </c>
      <c r="B16" s="24">
        <v>10450</v>
      </c>
      <c r="C16" s="24">
        <v>11010</v>
      </c>
      <c r="D16" s="24">
        <v>12470</v>
      </c>
      <c r="E16" s="24">
        <v>9373</v>
      </c>
    </row>
    <row r="17" spans="1:10" ht="15.75" customHeight="1">
      <c r="A17" s="24" t="s">
        <v>21</v>
      </c>
      <c r="B17" s="24">
        <v>6710</v>
      </c>
      <c r="C17" s="24">
        <v>5533</v>
      </c>
      <c r="D17" s="24">
        <v>6399</v>
      </c>
      <c r="E17" s="24">
        <v>4693</v>
      </c>
    </row>
    <row r="18" spans="1:10" ht="15.75" customHeight="1">
      <c r="A18" s="24" t="s">
        <v>22</v>
      </c>
      <c r="B18" s="24">
        <v>32.200000000000003</v>
      </c>
      <c r="C18" s="24">
        <v>30.5</v>
      </c>
      <c r="D18" s="24">
        <v>23.8</v>
      </c>
      <c r="E18" s="24">
        <v>23.2</v>
      </c>
    </row>
    <row r="19" spans="1:10" ht="15.75" customHeight="1">
      <c r="A19" s="24" t="s">
        <v>23</v>
      </c>
      <c r="B19" s="11">
        <v>69.47</v>
      </c>
      <c r="C19" s="11">
        <v>27.45</v>
      </c>
      <c r="D19" s="11">
        <v>15.87</v>
      </c>
      <c r="E19" s="11">
        <v>7.04</v>
      </c>
    </row>
    <row r="20" spans="1:10" ht="15.75" customHeight="1">
      <c r="A20" s="24" t="s">
        <v>24</v>
      </c>
      <c r="B20" s="24">
        <v>852</v>
      </c>
      <c r="C20" s="24">
        <v>895</v>
      </c>
      <c r="D20" s="24">
        <v>996</v>
      </c>
      <c r="E20" s="24">
        <v>1059</v>
      </c>
    </row>
    <row r="21" spans="1:10" ht="15.75" customHeight="1">
      <c r="A21" s="24" t="s">
        <v>25</v>
      </c>
      <c r="B21" s="24">
        <v>1190</v>
      </c>
      <c r="C21" s="24">
        <v>930</v>
      </c>
      <c r="D21" s="24">
        <v>840</v>
      </c>
      <c r="E21" s="24">
        <v>600</v>
      </c>
    </row>
    <row r="22" spans="1:10" ht="15.75" customHeight="1">
      <c r="A22" s="24" t="s">
        <v>26</v>
      </c>
      <c r="B22" s="24" t="s">
        <v>65</v>
      </c>
      <c r="C22" s="24" t="s">
        <v>65</v>
      </c>
      <c r="D22" s="24" t="s">
        <v>65</v>
      </c>
      <c r="E22" s="24" t="s">
        <v>65</v>
      </c>
    </row>
    <row r="23" spans="1:10" ht="15.75" customHeight="1">
      <c r="A23" s="24" t="s">
        <v>27</v>
      </c>
      <c r="B23" s="24">
        <v>7998</v>
      </c>
      <c r="C23" s="24">
        <v>5534</v>
      </c>
      <c r="D23" s="24">
        <v>3200</v>
      </c>
      <c r="E23" s="24">
        <v>3199</v>
      </c>
    </row>
    <row r="24" spans="1:10" ht="15.75" customHeight="1">
      <c r="H24" s="17"/>
      <c r="I24" s="17"/>
      <c r="J24" s="17"/>
    </row>
    <row r="25" spans="1:10" ht="15.75" customHeight="1">
      <c r="A25" s="35" t="s">
        <v>28</v>
      </c>
      <c r="B25" s="35" t="s">
        <v>29</v>
      </c>
    </row>
    <row r="26" spans="1:10" ht="15.75" customHeight="1">
      <c r="A26" s="36" t="s">
        <v>190</v>
      </c>
      <c r="B26" s="36" t="s">
        <v>191</v>
      </c>
      <c r="F26" s="17"/>
      <c r="G26" s="17"/>
    </row>
    <row r="27" spans="1:10" ht="15.75" customHeight="1">
      <c r="A27" s="36" t="s">
        <v>31</v>
      </c>
      <c r="B27" s="36" t="s">
        <v>192</v>
      </c>
    </row>
    <row r="28" spans="1:10" ht="15.75" customHeight="1"/>
    <row r="29" spans="1:10" ht="15.75" customHeight="1">
      <c r="A29" s="53" t="s">
        <v>33</v>
      </c>
    </row>
    <row r="30" spans="1:10" ht="15.75" customHeight="1"/>
    <row r="31" spans="1:10" ht="15.75" customHeight="1">
      <c r="A31" s="12" t="s">
        <v>34</v>
      </c>
      <c r="B31" s="12" t="s">
        <v>35</v>
      </c>
      <c r="C31" s="12" t="s">
        <v>36</v>
      </c>
      <c r="D31" s="12" t="s">
        <v>341</v>
      </c>
      <c r="E31" s="12"/>
    </row>
    <row r="32" spans="1:10" ht="15.75" customHeight="1">
      <c r="A32" s="13" t="s">
        <v>193</v>
      </c>
      <c r="B32" s="14" t="s">
        <v>194</v>
      </c>
      <c r="C32" s="15" t="s">
        <v>187</v>
      </c>
      <c r="D32" s="15" t="s">
        <v>195</v>
      </c>
      <c r="E32" s="12"/>
    </row>
    <row r="33" spans="1:7" ht="15.75" customHeight="1"/>
    <row r="34" spans="1:7" ht="15.75" customHeight="1">
      <c r="A34" s="16"/>
      <c r="B34" s="17" t="s">
        <v>42</v>
      </c>
      <c r="C34" s="17" t="s">
        <v>43</v>
      </c>
      <c r="D34" s="17" t="s">
        <v>44</v>
      </c>
      <c r="E34" s="17" t="s">
        <v>45</v>
      </c>
      <c r="F34" s="17" t="s">
        <v>46</v>
      </c>
      <c r="G34" s="17" t="s">
        <v>47</v>
      </c>
    </row>
    <row r="35" spans="1:7" ht="15.75" customHeight="1">
      <c r="A35" s="11" t="s">
        <v>146</v>
      </c>
      <c r="B35" s="11">
        <v>46161.048347000004</v>
      </c>
      <c r="D35" s="11">
        <v>91182.096393</v>
      </c>
      <c r="F35" s="11" t="s">
        <v>65</v>
      </c>
      <c r="G35" s="11" t="s">
        <v>65</v>
      </c>
    </row>
    <row r="36" spans="1:7" ht="15.75" customHeight="1">
      <c r="A36" s="11" t="s">
        <v>51</v>
      </c>
      <c r="B36" s="11">
        <v>3836.406618</v>
      </c>
      <c r="C36" s="18">
        <v>0.126</v>
      </c>
      <c r="D36" s="11">
        <v>5420.457864</v>
      </c>
      <c r="E36" s="18">
        <v>1.5269999999999999</v>
      </c>
      <c r="F36" s="11" t="s">
        <v>65</v>
      </c>
      <c r="G36" s="11" t="s">
        <v>65</v>
      </c>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dimension ref="A1:I1000"/>
  <sheetViews>
    <sheetView topLeftCell="A23" workbookViewId="0">
      <selection activeCell="D33" sqref="D33"/>
    </sheetView>
  </sheetViews>
  <sheetFormatPr baseColWidth="10" defaultColWidth="14.453125" defaultRowHeight="15" customHeight="1"/>
  <cols>
    <col min="1" max="1" width="50.453125" customWidth="1"/>
    <col min="2" max="2" width="12.7265625" customWidth="1"/>
    <col min="3" max="6" width="8.7265625" customWidth="1"/>
  </cols>
  <sheetData>
    <row r="1" spans="1:5" ht="14.5">
      <c r="A1" s="53" t="s">
        <v>320</v>
      </c>
      <c r="B1" s="53" t="s">
        <v>317</v>
      </c>
    </row>
    <row r="2" spans="1:5" ht="15.75" customHeight="1">
      <c r="A2" s="52" t="s">
        <v>196</v>
      </c>
      <c r="B2" s="67" t="s">
        <v>333</v>
      </c>
    </row>
    <row r="3" spans="1:5" ht="15.75" customHeight="1"/>
    <row r="4" spans="1:5" ht="15.75" customHeight="1">
      <c r="A4" s="54" t="s">
        <v>100</v>
      </c>
      <c r="B4" s="24">
        <v>10912000</v>
      </c>
      <c r="C4" s="24">
        <v>10912000</v>
      </c>
      <c r="D4" s="24">
        <v>10912000</v>
      </c>
      <c r="E4" s="24">
        <v>10912000</v>
      </c>
    </row>
    <row r="5" spans="1:5" ht="15.75" customHeight="1"/>
    <row r="6" spans="1:5" ht="15.75" customHeight="1">
      <c r="A6" s="22" t="s">
        <v>6</v>
      </c>
      <c r="B6" s="22">
        <v>2021</v>
      </c>
      <c r="C6" s="22">
        <v>2022</v>
      </c>
      <c r="D6" s="22">
        <v>2023</v>
      </c>
      <c r="E6" s="22">
        <v>2024</v>
      </c>
    </row>
    <row r="7" spans="1:5" ht="15.75" customHeight="1">
      <c r="A7" s="24" t="s">
        <v>11</v>
      </c>
      <c r="B7" s="24">
        <v>1166</v>
      </c>
      <c r="C7" s="24">
        <v>985</v>
      </c>
      <c r="D7" s="24">
        <v>755</v>
      </c>
      <c r="E7" s="24">
        <v>881</v>
      </c>
    </row>
    <row r="8" spans="1:5" ht="15.75" customHeight="1">
      <c r="A8" s="24" t="s">
        <v>12</v>
      </c>
      <c r="B8" s="24">
        <v>2990</v>
      </c>
      <c r="C8" s="24">
        <v>3788</v>
      </c>
      <c r="D8" s="24">
        <v>3684</v>
      </c>
      <c r="E8" s="24">
        <v>4771</v>
      </c>
    </row>
    <row r="9" spans="1:5" ht="15.75" customHeight="1">
      <c r="A9" s="24" t="s">
        <v>13</v>
      </c>
      <c r="B9" s="24">
        <v>6541</v>
      </c>
      <c r="C9" s="24">
        <v>7929</v>
      </c>
      <c r="D9" s="24">
        <v>10181</v>
      </c>
      <c r="E9" s="24">
        <v>12116</v>
      </c>
    </row>
    <row r="10" spans="1:5" ht="15.75" customHeight="1">
      <c r="A10" s="24" t="s">
        <v>14</v>
      </c>
      <c r="B10" s="24">
        <v>4001</v>
      </c>
      <c r="C10" s="24">
        <v>4569</v>
      </c>
      <c r="D10" s="24">
        <v>4789</v>
      </c>
      <c r="E10" s="24">
        <v>3808</v>
      </c>
    </row>
    <row r="11" spans="1:5" ht="15.75" customHeight="1">
      <c r="A11" s="24" t="s">
        <v>15</v>
      </c>
      <c r="B11" s="24">
        <v>3432</v>
      </c>
      <c r="C11" s="24">
        <v>5051</v>
      </c>
      <c r="D11" s="24">
        <v>6811</v>
      </c>
      <c r="E11" s="24">
        <v>4832</v>
      </c>
    </row>
    <row r="12" spans="1:5" ht="15.75" customHeight="1">
      <c r="A12" s="24" t="s">
        <v>16</v>
      </c>
      <c r="B12" s="24">
        <v>8377</v>
      </c>
      <c r="C12" s="24">
        <v>10804</v>
      </c>
      <c r="D12" s="24">
        <v>11254</v>
      </c>
      <c r="E12" s="24">
        <v>12467</v>
      </c>
    </row>
    <row r="13" spans="1:5" ht="15.75" customHeight="1">
      <c r="A13" s="24" t="s">
        <v>17</v>
      </c>
      <c r="B13" s="24" t="s">
        <v>65</v>
      </c>
      <c r="C13" s="24" t="s">
        <v>65</v>
      </c>
      <c r="D13" s="24" t="s">
        <v>65</v>
      </c>
      <c r="E13" s="24" t="s">
        <v>65</v>
      </c>
    </row>
    <row r="14" spans="1:5" ht="15.75" customHeight="1">
      <c r="A14" s="24" t="s">
        <v>18</v>
      </c>
      <c r="B14" s="24">
        <v>988</v>
      </c>
      <c r="C14" s="24">
        <v>1977</v>
      </c>
      <c r="D14" s="24">
        <v>1887</v>
      </c>
      <c r="E14" s="24">
        <v>2118</v>
      </c>
    </row>
    <row r="15" spans="1:5" ht="15.75" customHeight="1">
      <c r="A15" s="24" t="s">
        <v>19</v>
      </c>
      <c r="B15" s="24">
        <v>904</v>
      </c>
      <c r="C15" s="24">
        <v>1870</v>
      </c>
      <c r="D15" s="24">
        <v>1866</v>
      </c>
      <c r="E15" s="24">
        <v>2100</v>
      </c>
    </row>
    <row r="16" spans="1:5" ht="15.75" customHeight="1">
      <c r="A16" s="24" t="s">
        <v>20</v>
      </c>
      <c r="B16" s="24">
        <v>1239</v>
      </c>
      <c r="C16" s="24">
        <v>2132</v>
      </c>
      <c r="D16" s="24">
        <v>2212</v>
      </c>
      <c r="E16" s="24">
        <v>2003</v>
      </c>
    </row>
    <row r="17" spans="1:9" ht="15.75" customHeight="1">
      <c r="A17" s="24" t="s">
        <v>21</v>
      </c>
      <c r="B17" s="24">
        <v>953</v>
      </c>
      <c r="C17" s="24">
        <v>1269</v>
      </c>
      <c r="D17" s="24">
        <v>1335</v>
      </c>
      <c r="E17" s="24">
        <v>1520</v>
      </c>
    </row>
    <row r="18" spans="1:9" ht="15.75" customHeight="1">
      <c r="A18" s="24" t="s">
        <v>22</v>
      </c>
      <c r="B18" s="24">
        <v>20</v>
      </c>
      <c r="C18" s="24">
        <v>11.1</v>
      </c>
      <c r="D18" s="24">
        <v>10.9</v>
      </c>
      <c r="E18" s="24">
        <v>13.6</v>
      </c>
    </row>
    <row r="19" spans="1:9" ht="15.75" customHeight="1">
      <c r="A19" s="24" t="s">
        <v>23</v>
      </c>
      <c r="B19" s="11">
        <v>57.73</v>
      </c>
      <c r="C19" s="11">
        <v>92</v>
      </c>
      <c r="D19" s="11">
        <v>206.2</v>
      </c>
    </row>
    <row r="20" spans="1:9" ht="15.75" customHeight="1">
      <c r="A20" s="24" t="s">
        <v>24</v>
      </c>
      <c r="B20" s="24">
        <v>496</v>
      </c>
      <c r="C20" s="24">
        <v>561</v>
      </c>
      <c r="D20" s="24">
        <v>515</v>
      </c>
      <c r="E20" s="24">
        <v>440</v>
      </c>
    </row>
    <row r="21" spans="1:9" ht="15.75" customHeight="1">
      <c r="A21" s="24" t="s">
        <v>25</v>
      </c>
      <c r="B21" s="24">
        <v>1750</v>
      </c>
      <c r="C21" s="24">
        <v>1295</v>
      </c>
      <c r="D21" s="24">
        <v>1330</v>
      </c>
      <c r="E21" s="24">
        <v>1900</v>
      </c>
    </row>
    <row r="22" spans="1:9" ht="15.75" customHeight="1">
      <c r="A22" s="24" t="s">
        <v>26</v>
      </c>
      <c r="B22" s="24" t="s">
        <v>65</v>
      </c>
      <c r="C22" s="24" t="s">
        <v>65</v>
      </c>
      <c r="D22" s="24" t="s">
        <v>65</v>
      </c>
      <c r="E22" s="24" t="s">
        <v>65</v>
      </c>
    </row>
    <row r="23" spans="1:9" ht="15.75" customHeight="1">
      <c r="A23" s="24" t="s">
        <v>27</v>
      </c>
      <c r="B23" s="24">
        <v>700</v>
      </c>
      <c r="C23" s="24">
        <v>1004</v>
      </c>
      <c r="D23" s="24">
        <v>2500</v>
      </c>
      <c r="H23" s="17"/>
      <c r="I23" s="17"/>
    </row>
    <row r="24" spans="1:9" ht="15.75" customHeight="1"/>
    <row r="25" spans="1:9" ht="15.75" customHeight="1">
      <c r="A25" s="38"/>
      <c r="B25" s="38"/>
      <c r="E25" s="17"/>
      <c r="F25" s="17"/>
      <c r="G25" s="17"/>
    </row>
    <row r="26" spans="1:9" ht="15.75" customHeight="1">
      <c r="A26" s="35" t="s">
        <v>28</v>
      </c>
      <c r="B26" s="35" t="s">
        <v>29</v>
      </c>
    </row>
    <row r="27" spans="1:9" ht="15.75" customHeight="1">
      <c r="A27" s="36" t="s">
        <v>197</v>
      </c>
      <c r="B27" s="36" t="s">
        <v>198</v>
      </c>
    </row>
    <row r="28" spans="1:9" ht="15.75" customHeight="1">
      <c r="A28" s="36" t="s">
        <v>199</v>
      </c>
      <c r="B28" s="36" t="s">
        <v>200</v>
      </c>
    </row>
    <row r="29" spans="1:9" ht="15.75" customHeight="1">
      <c r="A29" s="36" t="s">
        <v>31</v>
      </c>
      <c r="B29" s="36" t="s">
        <v>201</v>
      </c>
    </row>
    <row r="30" spans="1:9" ht="15.75" customHeight="1"/>
    <row r="31" spans="1:9" ht="15.75" customHeight="1">
      <c r="A31" s="53" t="s">
        <v>33</v>
      </c>
    </row>
    <row r="32" spans="1:9" ht="15.75" customHeight="1"/>
    <row r="33" spans="1:7" ht="15.75" customHeight="1">
      <c r="A33" s="12" t="s">
        <v>34</v>
      </c>
      <c r="B33" s="12" t="s">
        <v>35</v>
      </c>
      <c r="C33" s="12" t="s">
        <v>36</v>
      </c>
      <c r="D33" s="12" t="s">
        <v>341</v>
      </c>
      <c r="E33" s="12"/>
    </row>
    <row r="34" spans="1:7" ht="15.75" customHeight="1">
      <c r="A34" s="15" t="s">
        <v>202</v>
      </c>
      <c r="B34" s="41" t="s">
        <v>203</v>
      </c>
      <c r="C34" s="15" t="s">
        <v>204</v>
      </c>
      <c r="D34" s="15" t="s">
        <v>65</v>
      </c>
      <c r="E34" s="12"/>
    </row>
    <row r="35" spans="1:7" ht="15.75" customHeight="1"/>
    <row r="36" spans="1:7" ht="15.75" customHeight="1">
      <c r="A36" s="16"/>
      <c r="B36" s="17" t="s">
        <v>42</v>
      </c>
      <c r="C36" s="17" t="s">
        <v>43</v>
      </c>
      <c r="D36" s="17" t="s">
        <v>44</v>
      </c>
      <c r="E36" s="17" t="s">
        <v>45</v>
      </c>
      <c r="F36" s="17" t="s">
        <v>46</v>
      </c>
      <c r="G36" s="17" t="s">
        <v>47</v>
      </c>
    </row>
    <row r="37" spans="1:7" ht="15.75" customHeight="1">
      <c r="A37" s="11" t="s">
        <v>146</v>
      </c>
      <c r="B37" s="11">
        <v>3175.808</v>
      </c>
      <c r="D37" s="11">
        <v>6584.25</v>
      </c>
      <c r="F37" s="11">
        <v>10217.962</v>
      </c>
    </row>
    <row r="38" spans="1:7" ht="15.75" customHeight="1">
      <c r="A38" s="11" t="s">
        <v>51</v>
      </c>
      <c r="B38" s="11">
        <v>345.94900000000001</v>
      </c>
      <c r="C38" s="18">
        <v>-6.8000000000000005E-2</v>
      </c>
      <c r="D38" s="11">
        <v>825.58</v>
      </c>
      <c r="E38" s="18">
        <v>0.16400000000000001</v>
      </c>
      <c r="F38" s="11">
        <v>1324.701</v>
      </c>
      <c r="G38" s="18">
        <v>0.17100000000000001</v>
      </c>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dimension ref="A1:I1000"/>
  <sheetViews>
    <sheetView topLeftCell="A26" workbookViewId="0">
      <selection activeCell="D31" sqref="D31"/>
    </sheetView>
  </sheetViews>
  <sheetFormatPr baseColWidth="10" defaultColWidth="14.453125" defaultRowHeight="15" customHeight="1"/>
  <cols>
    <col min="1" max="1" width="40.453125" customWidth="1"/>
    <col min="2" max="2" width="12.7265625" customWidth="1"/>
    <col min="3" max="6" width="8.7265625" customWidth="1"/>
  </cols>
  <sheetData>
    <row r="1" spans="1:5" ht="14.5">
      <c r="A1" s="53" t="s">
        <v>315</v>
      </c>
      <c r="B1" s="53" t="s">
        <v>317</v>
      </c>
    </row>
    <row r="2" spans="1:5" ht="116">
      <c r="A2" s="52" t="s">
        <v>205</v>
      </c>
      <c r="B2" s="67" t="s">
        <v>332</v>
      </c>
    </row>
    <row r="3" spans="1:5" ht="15.75" customHeight="1"/>
    <row r="4" spans="1:5" ht="15.75" customHeight="1">
      <c r="A4" s="54" t="s">
        <v>100</v>
      </c>
      <c r="B4" s="24">
        <v>10240000</v>
      </c>
      <c r="C4" s="24">
        <v>10240000</v>
      </c>
      <c r="D4" s="24">
        <v>10240000</v>
      </c>
      <c r="E4" s="24">
        <v>10240000</v>
      </c>
    </row>
    <row r="5" spans="1:5" ht="15.75" customHeight="1"/>
    <row r="6" spans="1:5" ht="15.75" customHeight="1">
      <c r="A6" s="22" t="s">
        <v>6</v>
      </c>
      <c r="B6" s="22">
        <v>2021</v>
      </c>
      <c r="C6" s="22">
        <v>2022</v>
      </c>
      <c r="D6" s="22">
        <v>2023</v>
      </c>
      <c r="E6" s="22">
        <v>2024</v>
      </c>
    </row>
    <row r="7" spans="1:5" ht="15.75" customHeight="1">
      <c r="A7" s="24" t="s">
        <v>11</v>
      </c>
      <c r="B7" s="24">
        <v>7695</v>
      </c>
      <c r="C7" s="24">
        <v>8987</v>
      </c>
      <c r="D7" s="24">
        <v>7896</v>
      </c>
      <c r="E7" s="24">
        <v>6690</v>
      </c>
    </row>
    <row r="8" spans="1:5" ht="15.75" customHeight="1">
      <c r="A8" s="24" t="s">
        <v>12</v>
      </c>
      <c r="B8" s="24">
        <v>26183</v>
      </c>
      <c r="C8" s="24">
        <v>36898</v>
      </c>
      <c r="D8" s="24">
        <v>37912</v>
      </c>
      <c r="E8" s="24">
        <v>35406</v>
      </c>
    </row>
    <row r="9" spans="1:5" ht="15.75" customHeight="1">
      <c r="A9" s="24" t="s">
        <v>13</v>
      </c>
      <c r="B9" s="24">
        <v>37716</v>
      </c>
      <c r="C9" s="24">
        <v>52169</v>
      </c>
      <c r="D9" s="24">
        <v>51246</v>
      </c>
      <c r="E9" s="24">
        <v>45186</v>
      </c>
    </row>
    <row r="10" spans="1:5" ht="15.75" customHeight="1">
      <c r="A10" s="24" t="s">
        <v>14</v>
      </c>
      <c r="B10" s="24">
        <v>8623</v>
      </c>
      <c r="C10" s="24">
        <v>9837</v>
      </c>
      <c r="D10" s="24">
        <v>11480</v>
      </c>
      <c r="E10" s="24">
        <v>11015</v>
      </c>
    </row>
    <row r="11" spans="1:5" ht="15.75" customHeight="1">
      <c r="A11" s="24" t="s">
        <v>15</v>
      </c>
      <c r="B11" s="24">
        <v>13871</v>
      </c>
      <c r="C11" s="24">
        <v>22950</v>
      </c>
      <c r="D11" s="24">
        <v>37526</v>
      </c>
      <c r="E11" s="24">
        <v>34293</v>
      </c>
    </row>
    <row r="12" spans="1:5" ht="15.75" customHeight="1">
      <c r="A12" s="24" t="s">
        <v>16</v>
      </c>
      <c r="B12" s="24">
        <v>65019</v>
      </c>
      <c r="C12" s="24">
        <v>70092</v>
      </c>
      <c r="D12" s="24">
        <v>77879</v>
      </c>
      <c r="E12" s="24">
        <v>74676</v>
      </c>
    </row>
    <row r="13" spans="1:5" ht="15.75" customHeight="1">
      <c r="A13" s="24" t="s">
        <v>17</v>
      </c>
      <c r="B13" s="24">
        <v>9990</v>
      </c>
      <c r="C13" s="24">
        <v>11384</v>
      </c>
      <c r="D13" s="24">
        <v>10623</v>
      </c>
      <c r="E13" s="24">
        <v>8915</v>
      </c>
    </row>
    <row r="14" spans="1:5" ht="15.75" customHeight="1">
      <c r="A14" s="24" t="s">
        <v>18</v>
      </c>
      <c r="B14" s="24">
        <v>4564</v>
      </c>
      <c r="C14" s="24">
        <v>5004</v>
      </c>
      <c r="D14" s="24">
        <v>2991</v>
      </c>
      <c r="E14" s="24">
        <v>1360</v>
      </c>
    </row>
    <row r="15" spans="1:5" ht="15.75" customHeight="1">
      <c r="A15" s="24" t="s">
        <v>19</v>
      </c>
      <c r="B15" s="24">
        <v>4889</v>
      </c>
      <c r="C15" s="24">
        <v>5249</v>
      </c>
      <c r="D15" s="24">
        <v>3253</v>
      </c>
      <c r="E15" s="24">
        <v>1775</v>
      </c>
    </row>
    <row r="16" spans="1:5" ht="15.75" customHeight="1">
      <c r="A16" s="24" t="s">
        <v>20</v>
      </c>
      <c r="B16" s="24">
        <v>6836</v>
      </c>
      <c r="C16" s="24">
        <v>7507</v>
      </c>
      <c r="D16" s="24">
        <v>5826</v>
      </c>
      <c r="E16" s="24">
        <v>3684</v>
      </c>
    </row>
    <row r="17" spans="1:9" ht="15.75" customHeight="1">
      <c r="A17" s="24" t="s">
        <v>21</v>
      </c>
      <c r="B17" s="24">
        <v>3067</v>
      </c>
      <c r="C17" s="24">
        <v>3644</v>
      </c>
      <c r="D17" s="24">
        <v>2084</v>
      </c>
      <c r="E17" s="24">
        <v>2346</v>
      </c>
    </row>
    <row r="18" spans="1:9" ht="15.75" customHeight="1">
      <c r="A18" s="24" t="s">
        <v>22</v>
      </c>
      <c r="B18" s="24">
        <v>14.02</v>
      </c>
      <c r="C18" s="24">
        <v>8.98</v>
      </c>
      <c r="D18" s="24">
        <v>9.34</v>
      </c>
      <c r="E18" s="24">
        <v>9.6</v>
      </c>
    </row>
    <row r="19" spans="1:9" ht="15.75" customHeight="1">
      <c r="A19" s="24" t="s">
        <v>23</v>
      </c>
      <c r="B19" s="30">
        <v>175.86</v>
      </c>
      <c r="C19" s="30">
        <v>224.1</v>
      </c>
      <c r="D19" s="30">
        <v>182.7</v>
      </c>
      <c r="E19" s="30">
        <v>182.16</v>
      </c>
    </row>
    <row r="20" spans="1:9" ht="15.75" customHeight="1">
      <c r="A20" s="24" t="s">
        <v>24</v>
      </c>
      <c r="B20" s="24">
        <v>2759</v>
      </c>
      <c r="C20" s="24">
        <v>3600</v>
      </c>
      <c r="D20" s="24">
        <v>2650</v>
      </c>
      <c r="E20" s="24">
        <v>2612</v>
      </c>
    </row>
    <row r="21" spans="1:9" ht="15.75" customHeight="1">
      <c r="A21" s="24" t="s">
        <v>25</v>
      </c>
      <c r="B21" s="24">
        <v>4200</v>
      </c>
      <c r="C21" s="24">
        <v>3195</v>
      </c>
      <c r="D21" s="24">
        <v>1900</v>
      </c>
      <c r="E21" s="24">
        <v>2200</v>
      </c>
    </row>
    <row r="22" spans="1:9" ht="15.75" customHeight="1">
      <c r="A22" s="24" t="s">
        <v>26</v>
      </c>
      <c r="B22" s="24" t="s">
        <v>65</v>
      </c>
      <c r="C22" s="24" t="s">
        <v>65</v>
      </c>
      <c r="D22" s="24" t="s">
        <v>65</v>
      </c>
      <c r="E22" s="24" t="s">
        <v>65</v>
      </c>
    </row>
    <row r="23" spans="1:9" ht="15.75" customHeight="1">
      <c r="A23" s="24" t="s">
        <v>27</v>
      </c>
      <c r="B23" s="24">
        <v>2001</v>
      </c>
      <c r="C23" s="24">
        <v>2550</v>
      </c>
      <c r="D23" s="24">
        <v>2079</v>
      </c>
      <c r="E23" s="24">
        <v>2120</v>
      </c>
      <c r="H23" s="17"/>
      <c r="I23" s="17"/>
    </row>
    <row r="24" spans="1:9" ht="15.75" customHeight="1"/>
    <row r="25" spans="1:9" ht="15.75" customHeight="1">
      <c r="A25" s="35" t="s">
        <v>28</v>
      </c>
      <c r="B25" s="35" t="s">
        <v>29</v>
      </c>
      <c r="E25" s="17"/>
      <c r="F25" s="17"/>
      <c r="G25" s="17"/>
    </row>
    <row r="26" spans="1:9" ht="15.75" customHeight="1">
      <c r="A26" s="36" t="s">
        <v>206</v>
      </c>
      <c r="B26" s="36" t="s">
        <v>207</v>
      </c>
    </row>
    <row r="27" spans="1:9" ht="15.75" customHeight="1">
      <c r="A27" s="36" t="s">
        <v>31</v>
      </c>
      <c r="B27" s="36" t="s">
        <v>208</v>
      </c>
    </row>
    <row r="28" spans="1:9" ht="15.75" customHeight="1"/>
    <row r="29" spans="1:9" ht="15.75" customHeight="1">
      <c r="A29" s="53" t="s">
        <v>33</v>
      </c>
    </row>
    <row r="30" spans="1:9" ht="15.75" customHeight="1"/>
    <row r="31" spans="1:9" ht="15.75" customHeight="1">
      <c r="A31" s="12" t="s">
        <v>34</v>
      </c>
      <c r="B31" s="12" t="s">
        <v>35</v>
      </c>
      <c r="C31" s="12" t="s">
        <v>36</v>
      </c>
      <c r="D31" s="12" t="s">
        <v>341</v>
      </c>
      <c r="E31" s="12"/>
    </row>
    <row r="32" spans="1:9" ht="15.75" customHeight="1">
      <c r="A32" s="13" t="s">
        <v>209</v>
      </c>
      <c r="B32" s="14" t="s">
        <v>210</v>
      </c>
      <c r="C32" s="15" t="s">
        <v>211</v>
      </c>
      <c r="D32" s="15" t="s">
        <v>212</v>
      </c>
      <c r="E32" s="12"/>
    </row>
    <row r="33" spans="1:7" ht="15.75" customHeight="1"/>
    <row r="34" spans="1:7" ht="15.75" customHeight="1">
      <c r="A34" s="16"/>
      <c r="B34" s="17" t="s">
        <v>42</v>
      </c>
      <c r="C34" s="17" t="s">
        <v>43</v>
      </c>
      <c r="D34" s="17" t="s">
        <v>44</v>
      </c>
      <c r="E34" s="17" t="s">
        <v>45</v>
      </c>
      <c r="F34" s="17" t="s">
        <v>46</v>
      </c>
      <c r="G34" s="17" t="s">
        <v>47</v>
      </c>
    </row>
    <row r="35" spans="1:7" ht="15.75" customHeight="1">
      <c r="A35" s="11" t="s">
        <v>146</v>
      </c>
      <c r="B35" s="11">
        <v>21055.785725000002</v>
      </c>
      <c r="D35" s="11">
        <v>39968.388798</v>
      </c>
      <c r="F35" s="11" t="s">
        <v>65</v>
      </c>
      <c r="G35" s="11" t="s">
        <v>65</v>
      </c>
    </row>
    <row r="36" spans="1:7" ht="15.75" customHeight="1">
      <c r="A36" s="11" t="s">
        <v>51</v>
      </c>
      <c r="B36" s="11">
        <v>925888.23499999999</v>
      </c>
      <c r="C36" s="18">
        <v>10.427</v>
      </c>
      <c r="D36" s="11">
        <v>1435.85349</v>
      </c>
      <c r="E36" s="18">
        <v>27.376000000000001</v>
      </c>
      <c r="F36" s="11" t="s">
        <v>65</v>
      </c>
      <c r="G36" s="11" t="s">
        <v>65</v>
      </c>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dimension ref="A1:J999"/>
  <sheetViews>
    <sheetView topLeftCell="A29" workbookViewId="0">
      <selection activeCell="D32" sqref="D32"/>
    </sheetView>
  </sheetViews>
  <sheetFormatPr baseColWidth="10" defaultColWidth="14.453125" defaultRowHeight="15" customHeight="1"/>
  <cols>
    <col min="1" max="1" width="44.54296875" customWidth="1"/>
    <col min="2" max="2" width="12" customWidth="1"/>
    <col min="3" max="5" width="11.26953125" customWidth="1"/>
  </cols>
  <sheetData>
    <row r="1" spans="1:6" ht="14.5">
      <c r="A1" s="53" t="s">
        <v>315</v>
      </c>
      <c r="B1" s="53" t="s">
        <v>317</v>
      </c>
    </row>
    <row r="2" spans="1:6" ht="116">
      <c r="A2" s="52" t="s">
        <v>213</v>
      </c>
      <c r="B2" s="67" t="s">
        <v>331</v>
      </c>
    </row>
    <row r="3" spans="1:6" ht="15.75" customHeight="1"/>
    <row r="4" spans="1:6" ht="15.75" customHeight="1">
      <c r="A4" s="54" t="s">
        <v>100</v>
      </c>
      <c r="B4" s="69">
        <v>54435300</v>
      </c>
      <c r="C4" s="71"/>
      <c r="D4" s="71"/>
      <c r="E4" s="71"/>
      <c r="F4" s="71"/>
    </row>
    <row r="5" spans="1:6" ht="15.75" customHeight="1">
      <c r="B5" s="71"/>
      <c r="C5" s="71"/>
      <c r="D5" s="71"/>
      <c r="E5" s="71"/>
      <c r="F5" s="71"/>
    </row>
    <row r="6" spans="1:6" ht="15.75" customHeight="1">
      <c r="A6" s="17" t="s">
        <v>6</v>
      </c>
      <c r="B6" s="70">
        <v>2021</v>
      </c>
      <c r="C6" s="70">
        <v>2022</v>
      </c>
      <c r="D6" s="70">
        <v>2023</v>
      </c>
      <c r="E6" s="70">
        <v>2024</v>
      </c>
      <c r="F6" s="71"/>
    </row>
    <row r="7" spans="1:6" ht="15.75" customHeight="1">
      <c r="A7" s="51" t="s">
        <v>215</v>
      </c>
      <c r="B7" s="74">
        <v>30798.732</v>
      </c>
      <c r="C7" s="74">
        <v>34791.915999999997</v>
      </c>
      <c r="D7" s="74">
        <v>42593.275000000001</v>
      </c>
      <c r="E7" s="74">
        <v>45411.817000000003</v>
      </c>
      <c r="F7" s="71"/>
    </row>
    <row r="8" spans="1:6" ht="15.75" customHeight="1">
      <c r="A8" s="11" t="s">
        <v>214</v>
      </c>
      <c r="B8" s="69"/>
      <c r="C8" s="69"/>
      <c r="D8" s="69"/>
      <c r="E8" s="69"/>
      <c r="F8" s="71"/>
    </row>
    <row r="9" spans="1:6" ht="15.75" customHeight="1">
      <c r="A9" s="11" t="s">
        <v>13</v>
      </c>
      <c r="B9" s="69">
        <v>155596.245</v>
      </c>
      <c r="C9" s="69">
        <v>149633.95199999999</v>
      </c>
      <c r="D9" s="69">
        <v>157732.88399999999</v>
      </c>
      <c r="E9" s="69">
        <v>188126.016</v>
      </c>
      <c r="F9" s="71"/>
    </row>
    <row r="10" spans="1:6" ht="15.75" customHeight="1">
      <c r="A10" s="11" t="s">
        <v>14</v>
      </c>
      <c r="B10" s="69">
        <v>45936.237000000001</v>
      </c>
      <c r="C10" s="69">
        <v>48903.777999999998</v>
      </c>
      <c r="D10" s="69">
        <v>61034.256999999998</v>
      </c>
      <c r="E10" s="69">
        <v>77095.183000000005</v>
      </c>
      <c r="F10" s="71"/>
    </row>
    <row r="11" spans="1:6" ht="15.75" customHeight="1">
      <c r="A11" s="11" t="s">
        <v>216</v>
      </c>
      <c r="B11" s="69">
        <v>84038.188999999998</v>
      </c>
      <c r="C11" s="69">
        <v>77634.278999999995</v>
      </c>
      <c r="D11" s="69">
        <v>76226.129000000001</v>
      </c>
      <c r="E11" s="69">
        <v>94058.97</v>
      </c>
      <c r="F11" s="71"/>
    </row>
    <row r="12" spans="1:6" ht="15.75" customHeight="1">
      <c r="A12" s="11" t="s">
        <v>48</v>
      </c>
      <c r="B12" s="69">
        <v>88721.263000000006</v>
      </c>
      <c r="C12" s="69">
        <v>86997.123999999996</v>
      </c>
      <c r="D12" s="69">
        <v>82623.384999999995</v>
      </c>
      <c r="E12" s="69">
        <v>85643.038</v>
      </c>
      <c r="F12" s="71"/>
    </row>
    <row r="13" spans="1:6" ht="15.75" customHeight="1">
      <c r="A13" s="11" t="s">
        <v>217</v>
      </c>
      <c r="B13" s="69">
        <v>39959.298999999999</v>
      </c>
      <c r="C13" s="69">
        <v>37590.991999999998</v>
      </c>
      <c r="D13" s="69">
        <v>39345.997000000003</v>
      </c>
      <c r="E13" s="69">
        <v>38987.160000000003</v>
      </c>
      <c r="F13" s="71"/>
    </row>
    <row r="14" spans="1:6" ht="15.75" customHeight="1">
      <c r="A14" s="11" t="s">
        <v>218</v>
      </c>
      <c r="B14" s="69">
        <v>16371.034</v>
      </c>
      <c r="C14" s="69">
        <v>13409.342000000001</v>
      </c>
      <c r="D14" s="69">
        <v>18614.669999999998</v>
      </c>
      <c r="E14" s="69">
        <v>21811.731</v>
      </c>
      <c r="F14" s="71"/>
    </row>
    <row r="15" spans="1:6" ht="15.75" customHeight="1">
      <c r="A15" s="11" t="s">
        <v>219</v>
      </c>
      <c r="B15" s="69">
        <v>4291.2139999999999</v>
      </c>
      <c r="C15" s="69">
        <v>722.91499999999996</v>
      </c>
      <c r="D15" s="69">
        <v>547.36599999999999</v>
      </c>
      <c r="E15" s="69">
        <v>941.67600000000004</v>
      </c>
      <c r="F15" s="71"/>
    </row>
    <row r="16" spans="1:6" ht="15.75" customHeight="1">
      <c r="A16" s="11" t="s">
        <v>220</v>
      </c>
      <c r="B16" s="69">
        <v>10194.86</v>
      </c>
      <c r="C16" s="69">
        <v>7290.982</v>
      </c>
      <c r="D16" s="69">
        <v>7030.86</v>
      </c>
      <c r="E16" s="69">
        <v>4585.2879999999996</v>
      </c>
      <c r="F16" s="71"/>
    </row>
    <row r="17" spans="1:10" ht="15.75" customHeight="1">
      <c r="A17" s="11" t="s">
        <v>221</v>
      </c>
      <c r="B17" s="69">
        <v>13942.342000000001</v>
      </c>
      <c r="C17" s="69">
        <v>10044.129000000001</v>
      </c>
      <c r="D17" s="69">
        <v>17138.526999999998</v>
      </c>
      <c r="E17" s="69">
        <v>21068.973999999998</v>
      </c>
      <c r="F17" s="71"/>
    </row>
    <row r="18" spans="1:10" ht="15.75" customHeight="1">
      <c r="A18" s="11" t="s">
        <v>22</v>
      </c>
      <c r="B18" s="69">
        <v>10.4</v>
      </c>
      <c r="C18" s="69">
        <v>5.45</v>
      </c>
      <c r="D18" s="69">
        <v>7.32</v>
      </c>
      <c r="E18" s="69">
        <v>4.26</v>
      </c>
      <c r="F18" s="71"/>
    </row>
    <row r="19" spans="1:10" ht="15.75" customHeight="1">
      <c r="A19" s="11" t="s">
        <v>23</v>
      </c>
      <c r="B19" s="76">
        <v>130</v>
      </c>
      <c r="C19" s="76">
        <v>92</v>
      </c>
      <c r="D19" s="76">
        <v>92</v>
      </c>
      <c r="E19" s="76">
        <v>92</v>
      </c>
      <c r="F19" s="71"/>
      <c r="H19" s="25"/>
      <c r="I19" s="25"/>
      <c r="J19" s="25"/>
    </row>
    <row r="20" spans="1:10" ht="15.75" customHeight="1">
      <c r="A20" s="11" t="s">
        <v>222</v>
      </c>
      <c r="B20" s="69">
        <v>92818.395999999993</v>
      </c>
      <c r="C20" s="69">
        <v>87341.206000000006</v>
      </c>
      <c r="D20" s="69">
        <v>86960.111000000004</v>
      </c>
      <c r="E20" s="69">
        <v>102383.955</v>
      </c>
      <c r="F20" s="71"/>
      <c r="J20" s="42"/>
    </row>
    <row r="21" spans="1:10" ht="15.75" customHeight="1">
      <c r="A21" s="11" t="s">
        <v>223</v>
      </c>
      <c r="B21" s="69">
        <v>2570</v>
      </c>
      <c r="C21" s="69">
        <v>1395</v>
      </c>
      <c r="D21" s="69">
        <v>1350</v>
      </c>
      <c r="E21" s="69">
        <v>1340</v>
      </c>
      <c r="F21" s="71"/>
      <c r="G21" s="25"/>
    </row>
    <row r="22" spans="1:10" ht="15.75" customHeight="1">
      <c r="A22" s="11" t="s">
        <v>224</v>
      </c>
      <c r="B22" s="69">
        <v>9705.1679999999997</v>
      </c>
      <c r="C22" s="69">
        <v>10378.299999999999</v>
      </c>
      <c r="D22" s="69">
        <v>13623.547</v>
      </c>
      <c r="E22" s="69">
        <v>14772.054</v>
      </c>
      <c r="F22" s="71"/>
    </row>
    <row r="23" spans="1:10" ht="15.75" customHeight="1">
      <c r="A23" s="11" t="s">
        <v>27</v>
      </c>
      <c r="B23" s="69">
        <v>7077</v>
      </c>
      <c r="C23" s="69">
        <v>5008.0479999999998</v>
      </c>
      <c r="D23" s="69">
        <v>5008.0479999999998</v>
      </c>
      <c r="E23" s="69">
        <v>5008.0479999999998</v>
      </c>
      <c r="F23" s="71"/>
    </row>
    <row r="24" spans="1:10" ht="15.75" customHeight="1">
      <c r="H24" s="17"/>
    </row>
    <row r="25" spans="1:10" ht="15.75" customHeight="1"/>
    <row r="26" spans="1:10" ht="15.75" customHeight="1">
      <c r="A26" s="35" t="s">
        <v>28</v>
      </c>
      <c r="B26" s="35" t="s">
        <v>29</v>
      </c>
      <c r="D26" s="17"/>
      <c r="E26" s="17"/>
      <c r="F26" s="17"/>
      <c r="G26" s="17"/>
    </row>
    <row r="27" spans="1:10" ht="15.75" customHeight="1">
      <c r="A27" s="43" t="s">
        <v>225</v>
      </c>
      <c r="B27" s="44">
        <v>0.79920000000000002</v>
      </c>
    </row>
    <row r="28" spans="1:10" ht="15.75" customHeight="1">
      <c r="A28" s="36" t="s">
        <v>31</v>
      </c>
      <c r="B28" s="37">
        <f>100%-B27</f>
        <v>0.20079999999999998</v>
      </c>
    </row>
    <row r="29" spans="1:10" ht="15.75" customHeight="1"/>
    <row r="30" spans="1:10" ht="15.75" customHeight="1">
      <c r="A30" s="11" t="s">
        <v>33</v>
      </c>
    </row>
    <row r="31" spans="1:10" ht="15.75" customHeight="1"/>
    <row r="32" spans="1:10" ht="15.75" customHeight="1">
      <c r="A32" s="12" t="s">
        <v>34</v>
      </c>
      <c r="B32" s="12" t="s">
        <v>35</v>
      </c>
      <c r="C32" s="12" t="s">
        <v>36</v>
      </c>
      <c r="D32" s="12" t="s">
        <v>341</v>
      </c>
      <c r="E32" s="12"/>
    </row>
    <row r="33" spans="1:7" ht="15.75" customHeight="1">
      <c r="A33" s="13" t="s">
        <v>226</v>
      </c>
      <c r="B33" s="14" t="s">
        <v>227</v>
      </c>
      <c r="C33" s="15" t="s">
        <v>70</v>
      </c>
      <c r="D33" s="15" t="s">
        <v>228</v>
      </c>
      <c r="E33" s="12"/>
    </row>
    <row r="34" spans="1:7" ht="15.75" customHeight="1"/>
    <row r="35" spans="1:7" ht="15.75" customHeight="1">
      <c r="A35" s="16"/>
      <c r="B35" s="17" t="s">
        <v>42</v>
      </c>
      <c r="C35" s="17" t="s">
        <v>43</v>
      </c>
      <c r="D35" s="17" t="s">
        <v>44</v>
      </c>
      <c r="E35" s="17" t="s">
        <v>45</v>
      </c>
      <c r="F35" s="17" t="s">
        <v>46</v>
      </c>
      <c r="G35" s="17" t="s">
        <v>47</v>
      </c>
    </row>
    <row r="36" spans="1:7" ht="15.75" customHeight="1">
      <c r="A36" s="11" t="s">
        <v>146</v>
      </c>
      <c r="B36" s="11">
        <v>4452.5960880000002</v>
      </c>
      <c r="D36" s="11" t="s">
        <v>65</v>
      </c>
      <c r="E36" s="11" t="s">
        <v>65</v>
      </c>
      <c r="F36" s="11" t="s">
        <v>65</v>
      </c>
      <c r="G36" s="11" t="s">
        <v>65</v>
      </c>
    </row>
    <row r="37" spans="1:7" ht="15.75" customHeight="1">
      <c r="A37" s="11" t="s">
        <v>51</v>
      </c>
      <c r="B37" s="11">
        <v>-427.47049800000002</v>
      </c>
      <c r="C37" s="18">
        <v>-1.02</v>
      </c>
      <c r="D37" s="11" t="s">
        <v>65</v>
      </c>
      <c r="E37" s="11" t="s">
        <v>65</v>
      </c>
      <c r="F37" s="11" t="s">
        <v>65</v>
      </c>
      <c r="G37" s="11" t="s">
        <v>65</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dimension ref="A1:E999"/>
  <sheetViews>
    <sheetView topLeftCell="A23" workbookViewId="0">
      <selection activeCell="D32" sqref="D32"/>
    </sheetView>
  </sheetViews>
  <sheetFormatPr baseColWidth="10" defaultColWidth="14.453125" defaultRowHeight="15" customHeight="1"/>
  <cols>
    <col min="1" max="1" width="44.54296875" customWidth="1"/>
    <col min="2" max="2" width="19.1796875" customWidth="1"/>
    <col min="3" max="5" width="8.7265625" customWidth="1"/>
  </cols>
  <sheetData>
    <row r="1" spans="1:5" ht="14.5">
      <c r="A1" s="53" t="s">
        <v>315</v>
      </c>
      <c r="B1" s="53" t="s">
        <v>317</v>
      </c>
    </row>
    <row r="2" spans="1:5" ht="130.5">
      <c r="A2" s="52" t="s">
        <v>229</v>
      </c>
      <c r="B2" s="67" t="s">
        <v>330</v>
      </c>
    </row>
    <row r="3" spans="1:5" ht="15.75" customHeight="1"/>
    <row r="4" spans="1:5" ht="15.75" customHeight="1">
      <c r="A4" s="54" t="s">
        <v>100</v>
      </c>
      <c r="B4" s="11">
        <v>8734000</v>
      </c>
      <c r="C4" s="11">
        <v>8734000</v>
      </c>
      <c r="D4" s="11">
        <v>8734000</v>
      </c>
      <c r="E4" s="11">
        <v>8734000</v>
      </c>
    </row>
    <row r="5" spans="1:5" ht="15.75" customHeight="1"/>
    <row r="6" spans="1:5" ht="15.75" customHeight="1">
      <c r="A6" s="70" t="s">
        <v>6</v>
      </c>
      <c r="B6" s="70">
        <v>2021</v>
      </c>
      <c r="C6" s="70">
        <v>2022</v>
      </c>
      <c r="D6" s="70">
        <v>2023</v>
      </c>
      <c r="E6" s="70">
        <v>2024</v>
      </c>
    </row>
    <row r="7" spans="1:5" ht="15.75" customHeight="1">
      <c r="A7" s="69" t="s">
        <v>215</v>
      </c>
      <c r="B7" s="69">
        <v>8187.083799</v>
      </c>
      <c r="C7" s="69">
        <v>8122.6509999999998</v>
      </c>
      <c r="D7" s="69">
        <v>7772.44</v>
      </c>
      <c r="E7" s="71"/>
    </row>
    <row r="8" spans="1:5" ht="15.75" customHeight="1">
      <c r="A8" s="69" t="s">
        <v>214</v>
      </c>
      <c r="B8" s="69">
        <v>6820.073367</v>
      </c>
      <c r="C8" s="69">
        <v>7627.2581829999999</v>
      </c>
      <c r="D8" s="69">
        <v>7735.2897650000004</v>
      </c>
      <c r="E8" s="71"/>
    </row>
    <row r="9" spans="1:5" ht="15.75" customHeight="1">
      <c r="A9" s="69" t="s">
        <v>230</v>
      </c>
      <c r="B9" s="69">
        <v>15721.786357000001</v>
      </c>
      <c r="C9" s="69">
        <v>15914.219225000001</v>
      </c>
      <c r="D9" s="69">
        <v>15698.401816</v>
      </c>
      <c r="E9" s="71"/>
    </row>
    <row r="10" spans="1:5" ht="15.75" customHeight="1">
      <c r="A10" s="69" t="s">
        <v>14</v>
      </c>
      <c r="B10" s="69">
        <v>2564.7620569999999</v>
      </c>
      <c r="C10" s="69">
        <v>2600.4158649999999</v>
      </c>
      <c r="D10" s="69">
        <v>3211.638078</v>
      </c>
      <c r="E10" s="71"/>
    </row>
    <row r="11" spans="1:5" ht="15.75" customHeight="1">
      <c r="A11" s="69" t="s">
        <v>216</v>
      </c>
      <c r="B11" s="69">
        <v>9091.3358609999996</v>
      </c>
      <c r="C11" s="69">
        <v>9643.3767119999993</v>
      </c>
      <c r="D11" s="69">
        <v>9094.4731520000005</v>
      </c>
      <c r="E11" s="71"/>
    </row>
    <row r="12" spans="1:5" ht="15.75" customHeight="1">
      <c r="A12" s="69" t="s">
        <v>48</v>
      </c>
      <c r="B12" s="69">
        <v>7647.9620000000004</v>
      </c>
      <c r="C12" s="69">
        <v>8688.8700000000008</v>
      </c>
      <c r="D12" s="69">
        <v>8512.3056460000007</v>
      </c>
      <c r="E12" s="71"/>
    </row>
    <row r="13" spans="1:5" ht="15.75" customHeight="1">
      <c r="A13" s="69" t="s">
        <v>217</v>
      </c>
      <c r="B13" s="69">
        <v>3111.5927230000002</v>
      </c>
      <c r="C13" s="69">
        <v>2967.0639299999998</v>
      </c>
      <c r="D13" s="69">
        <v>3475.9624269999999</v>
      </c>
      <c r="E13" s="71"/>
    </row>
    <row r="14" spans="1:5" ht="15.75" customHeight="1">
      <c r="A14" s="69" t="s">
        <v>231</v>
      </c>
      <c r="B14" s="69">
        <v>374.33156400000001</v>
      </c>
      <c r="C14" s="69">
        <v>70.653807999999998</v>
      </c>
      <c r="D14" s="69">
        <v>625.48553000000004</v>
      </c>
      <c r="E14" s="71"/>
    </row>
    <row r="15" spans="1:5" ht="15.75" customHeight="1">
      <c r="A15" s="69" t="s">
        <v>232</v>
      </c>
      <c r="B15" s="69">
        <v>507.83330000000001</v>
      </c>
      <c r="C15" s="69">
        <v>339.11580900000001</v>
      </c>
      <c r="D15" s="69">
        <v>824.51841899999999</v>
      </c>
      <c r="E15" s="71"/>
    </row>
    <row r="16" spans="1:5" ht="15.75" customHeight="1">
      <c r="A16" s="69" t="s">
        <v>233</v>
      </c>
      <c r="B16" s="69">
        <v>1168.6510450000001</v>
      </c>
      <c r="C16" s="69">
        <v>836.70189800000003</v>
      </c>
      <c r="D16" s="69">
        <v>1664.584869</v>
      </c>
      <c r="E16" s="71"/>
    </row>
    <row r="17" spans="1:5" ht="15.75" customHeight="1">
      <c r="A17" s="69" t="s">
        <v>221</v>
      </c>
      <c r="B17" s="69">
        <v>727.41273699999999</v>
      </c>
      <c r="C17" s="69">
        <v>402.747322</v>
      </c>
      <c r="D17" s="69">
        <v>895.70849999999996</v>
      </c>
      <c r="E17" s="71"/>
    </row>
    <row r="18" spans="1:5" ht="15.75" customHeight="1">
      <c r="A18" s="69" t="s">
        <v>22</v>
      </c>
      <c r="B18" s="72">
        <v>8.3699999999999992</v>
      </c>
      <c r="C18" s="72">
        <v>15.08</v>
      </c>
      <c r="D18" s="72">
        <v>6.77</v>
      </c>
      <c r="E18" s="71"/>
    </row>
    <row r="19" spans="1:5" ht="15.75" customHeight="1">
      <c r="A19" s="69" t="s">
        <v>234</v>
      </c>
      <c r="B19" s="71"/>
      <c r="C19" s="71"/>
      <c r="D19" s="71"/>
      <c r="E19" s="71"/>
    </row>
    <row r="20" spans="1:5" ht="15.75" customHeight="1">
      <c r="A20" s="69" t="s">
        <v>24</v>
      </c>
      <c r="B20" s="69">
        <v>2556</v>
      </c>
      <c r="C20" s="69">
        <v>1760</v>
      </c>
      <c r="D20" s="69">
        <v>1465</v>
      </c>
      <c r="E20" s="71"/>
    </row>
    <row r="21" spans="1:5" ht="15.75" customHeight="1">
      <c r="A21" s="69" t="s">
        <v>235</v>
      </c>
      <c r="B21" s="69">
        <v>895</v>
      </c>
      <c r="C21" s="69">
        <v>675</v>
      </c>
      <c r="D21" s="69">
        <v>830</v>
      </c>
      <c r="E21" s="69">
        <v>500</v>
      </c>
    </row>
    <row r="22" spans="1:5" ht="15.75" customHeight="1">
      <c r="A22" s="69" t="s">
        <v>26</v>
      </c>
      <c r="B22" s="71"/>
      <c r="C22" s="71"/>
      <c r="D22" s="71"/>
      <c r="E22" s="71"/>
    </row>
    <row r="23" spans="1:5" ht="15.75" customHeight="1">
      <c r="A23" s="69" t="s">
        <v>27</v>
      </c>
      <c r="B23" s="71"/>
      <c r="C23" s="71"/>
      <c r="D23" s="71"/>
      <c r="E23" s="71"/>
    </row>
    <row r="24" spans="1:5" ht="15.75" customHeight="1"/>
    <row r="25" spans="1:5" ht="15.75" customHeight="1"/>
    <row r="26" spans="1:5" ht="15.75" customHeight="1">
      <c r="A26" s="17" t="s">
        <v>28</v>
      </c>
      <c r="B26" s="17" t="s">
        <v>29</v>
      </c>
    </row>
    <row r="27" spans="1:5" ht="15.75" customHeight="1">
      <c r="A27" s="11" t="s">
        <v>236</v>
      </c>
      <c r="B27" s="18">
        <v>0.7208</v>
      </c>
    </row>
    <row r="28" spans="1:5" ht="15.75" customHeight="1">
      <c r="A28" s="11" t="s">
        <v>31</v>
      </c>
      <c r="B28" s="18">
        <v>0.2792</v>
      </c>
    </row>
    <row r="29" spans="1:5" ht="15.75" customHeight="1"/>
    <row r="30" spans="1:5" ht="15.75" customHeight="1">
      <c r="A30" s="53" t="s">
        <v>33</v>
      </c>
    </row>
    <row r="31" spans="1:5" ht="15.75" customHeight="1"/>
    <row r="32" spans="1:5" ht="15.75" customHeight="1">
      <c r="A32" s="12" t="s">
        <v>34</v>
      </c>
      <c r="B32" s="12" t="s">
        <v>35</v>
      </c>
      <c r="C32" s="12" t="s">
        <v>36</v>
      </c>
      <c r="D32" s="12" t="s">
        <v>341</v>
      </c>
      <c r="E32" s="12"/>
    </row>
    <row r="33" spans="1:5" ht="15.75" customHeight="1">
      <c r="A33" s="13" t="s">
        <v>38</v>
      </c>
      <c r="B33" s="14" t="s">
        <v>237</v>
      </c>
      <c r="C33" s="15"/>
      <c r="D33" s="15" t="s">
        <v>70</v>
      </c>
      <c r="E33" s="12"/>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dimension ref="A1:I999"/>
  <sheetViews>
    <sheetView topLeftCell="A20" workbookViewId="0">
      <selection activeCell="D34" sqref="D34"/>
    </sheetView>
  </sheetViews>
  <sheetFormatPr baseColWidth="10" defaultColWidth="14.453125" defaultRowHeight="15" customHeight="1"/>
  <cols>
    <col min="1" max="1" width="44.54296875" customWidth="1"/>
    <col min="2" max="2" width="12.7265625" customWidth="1"/>
    <col min="3" max="4" width="8.7265625" customWidth="1"/>
  </cols>
  <sheetData>
    <row r="1" spans="1:5" ht="14.5">
      <c r="A1" s="53" t="s">
        <v>315</v>
      </c>
      <c r="B1" s="53" t="s">
        <v>317</v>
      </c>
    </row>
    <row r="2" spans="1:5" ht="72.5">
      <c r="A2" s="52" t="s">
        <v>238</v>
      </c>
      <c r="B2" s="67" t="s">
        <v>329</v>
      </c>
    </row>
    <row r="3" spans="1:5" ht="15.75" customHeight="1"/>
    <row r="4" spans="1:5" ht="15.75" customHeight="1">
      <c r="A4" s="54" t="s">
        <v>100</v>
      </c>
      <c r="B4" s="69">
        <v>25189600</v>
      </c>
      <c r="C4" s="69">
        <v>25189600</v>
      </c>
      <c r="D4" s="69">
        <v>25189600</v>
      </c>
      <c r="E4" s="71"/>
    </row>
    <row r="5" spans="1:5" ht="15.75" customHeight="1">
      <c r="B5" s="71"/>
      <c r="C5" s="71"/>
      <c r="D5" s="71"/>
      <c r="E5" s="71"/>
    </row>
    <row r="6" spans="1:5" ht="15.75" customHeight="1">
      <c r="A6" s="17" t="s">
        <v>6</v>
      </c>
      <c r="B6" s="70">
        <v>2021</v>
      </c>
      <c r="C6" s="70">
        <v>2022</v>
      </c>
      <c r="D6" s="70">
        <v>2023</v>
      </c>
      <c r="E6" s="77">
        <v>2024</v>
      </c>
    </row>
    <row r="7" spans="1:5" ht="15.75" customHeight="1">
      <c r="A7" s="11" t="s">
        <v>215</v>
      </c>
      <c r="B7" s="69">
        <v>5645.0780000000004</v>
      </c>
      <c r="C7" s="69">
        <v>6121.3710000000001</v>
      </c>
      <c r="D7" s="69">
        <v>5302.5680000000002</v>
      </c>
      <c r="E7" s="71"/>
    </row>
    <row r="8" spans="1:5" ht="15.75" customHeight="1">
      <c r="A8" s="11" t="s">
        <v>214</v>
      </c>
      <c r="B8" s="69"/>
      <c r="C8" s="69"/>
      <c r="D8" s="69"/>
      <c r="E8" s="71"/>
    </row>
    <row r="9" spans="1:5" ht="15.75" customHeight="1">
      <c r="A9" s="11" t="s">
        <v>13</v>
      </c>
      <c r="B9" s="69">
        <v>22449.235000000001</v>
      </c>
      <c r="C9" s="69">
        <v>32641.611000000001</v>
      </c>
      <c r="D9" s="69">
        <v>30745.26</v>
      </c>
      <c r="E9" s="71"/>
    </row>
    <row r="10" spans="1:5" ht="15.75" customHeight="1">
      <c r="A10" s="11" t="s">
        <v>14</v>
      </c>
      <c r="B10" s="69">
        <v>8179</v>
      </c>
      <c r="C10" s="69">
        <v>12037</v>
      </c>
      <c r="D10" s="69">
        <v>13049</v>
      </c>
      <c r="E10" s="71"/>
    </row>
    <row r="11" spans="1:5" ht="15.75" customHeight="1">
      <c r="A11" s="11" t="s">
        <v>216</v>
      </c>
      <c r="B11" s="69">
        <v>13703.832</v>
      </c>
      <c r="C11" s="69">
        <v>19772.522000000001</v>
      </c>
      <c r="D11" s="69">
        <v>16741.603999999999</v>
      </c>
      <c r="E11" s="71"/>
    </row>
    <row r="12" spans="1:5" ht="15.75" customHeight="1">
      <c r="A12" s="11" t="s">
        <v>48</v>
      </c>
      <c r="B12" s="69">
        <v>23056.649000000001</v>
      </c>
      <c r="C12" s="69">
        <v>29602.760999999999</v>
      </c>
      <c r="D12" s="69">
        <v>27874.878000000001</v>
      </c>
      <c r="E12" s="71"/>
    </row>
    <row r="13" spans="1:5" ht="15.75" customHeight="1">
      <c r="A13" s="11" t="s">
        <v>217</v>
      </c>
      <c r="B13" s="69">
        <v>5645.1660000000002</v>
      </c>
      <c r="C13" s="69">
        <v>6261.7020000000002</v>
      </c>
      <c r="D13" s="69">
        <v>4973.2280000000001</v>
      </c>
      <c r="E13" s="71"/>
    </row>
    <row r="14" spans="1:5" ht="15.75" customHeight="1">
      <c r="A14" s="11" t="s">
        <v>231</v>
      </c>
      <c r="B14" s="69">
        <v>2799.598</v>
      </c>
      <c r="C14" s="69">
        <v>4854.7910000000002</v>
      </c>
      <c r="D14" s="69">
        <v>1451.037</v>
      </c>
      <c r="E14" s="71"/>
    </row>
    <row r="15" spans="1:5" ht="15.75" customHeight="1">
      <c r="A15" s="11" t="s">
        <v>19</v>
      </c>
      <c r="B15" s="69">
        <v>2822.884</v>
      </c>
      <c r="C15" s="69">
        <v>3260.942</v>
      </c>
      <c r="D15" s="69">
        <v>1460.4290000000001</v>
      </c>
      <c r="E15" s="71"/>
    </row>
    <row r="16" spans="1:5" ht="15.75" customHeight="1">
      <c r="A16" s="11" t="s">
        <v>220</v>
      </c>
      <c r="B16" s="69">
        <v>3243.4389999999999</v>
      </c>
      <c r="C16" s="69">
        <v>3738.5859999999998</v>
      </c>
      <c r="D16" s="69">
        <v>2318.8139999999999</v>
      </c>
      <c r="E16" s="71"/>
    </row>
    <row r="17" spans="1:9" ht="15.75" customHeight="1">
      <c r="A17" s="11" t="s">
        <v>221</v>
      </c>
      <c r="B17" s="69">
        <v>2383.6089999999999</v>
      </c>
      <c r="C17" s="69">
        <v>3857.7860000000001</v>
      </c>
      <c r="D17" s="69">
        <v>1012.0549999999999</v>
      </c>
      <c r="E17" s="71"/>
    </row>
    <row r="18" spans="1:9" ht="15.75" customHeight="1">
      <c r="A18" s="11" t="s">
        <v>22</v>
      </c>
      <c r="B18" s="74">
        <f>B21/(B17*1000000/B4)</f>
        <v>8.0843980703210967</v>
      </c>
      <c r="C18" s="74">
        <f>C21/(C17*1000000/C4)</f>
        <v>4.4400928408159492</v>
      </c>
      <c r="D18" s="74">
        <f>D21/(D17*1000000/D4)</f>
        <v>17.422689478338629</v>
      </c>
      <c r="E18" s="71"/>
    </row>
    <row r="19" spans="1:9" ht="15.75" customHeight="1">
      <c r="A19" s="11" t="s">
        <v>23</v>
      </c>
      <c r="B19" s="71"/>
      <c r="C19" s="71"/>
      <c r="D19" s="71"/>
      <c r="E19" s="71"/>
    </row>
    <row r="20" spans="1:9" ht="15.75" customHeight="1">
      <c r="A20" s="11" t="s">
        <v>24</v>
      </c>
      <c r="B20" s="69">
        <v>14270</v>
      </c>
      <c r="C20" s="69">
        <v>20605</v>
      </c>
      <c r="D20" s="69">
        <v>17696</v>
      </c>
      <c r="E20" s="71"/>
    </row>
    <row r="21" spans="1:9" ht="15.75" customHeight="1">
      <c r="A21" s="11" t="s">
        <v>25</v>
      </c>
      <c r="B21" s="69">
        <v>765</v>
      </c>
      <c r="C21" s="69">
        <v>680</v>
      </c>
      <c r="D21" s="69">
        <v>700</v>
      </c>
      <c r="E21" s="69">
        <v>700</v>
      </c>
      <c r="G21" s="17"/>
      <c r="H21" s="17"/>
      <c r="I21" s="17"/>
    </row>
    <row r="22" spans="1:9" ht="15.75" customHeight="1">
      <c r="A22" s="11" t="s">
        <v>26</v>
      </c>
      <c r="B22" s="71"/>
      <c r="C22" s="71"/>
      <c r="D22" s="71"/>
      <c r="E22" s="71"/>
    </row>
    <row r="23" spans="1:9" ht="15.75" customHeight="1">
      <c r="A23" s="11" t="s">
        <v>27</v>
      </c>
      <c r="B23" s="71"/>
      <c r="C23" s="71"/>
      <c r="D23" s="71"/>
      <c r="E23" s="70"/>
      <c r="F23" s="17"/>
    </row>
    <row r="24" spans="1:9" ht="15.75" customHeight="1"/>
    <row r="25" spans="1:9" ht="15.75" customHeight="1"/>
    <row r="26" spans="1:9" ht="15.75" customHeight="1">
      <c r="A26" s="17" t="s">
        <v>28</v>
      </c>
      <c r="B26" s="17" t="s">
        <v>29</v>
      </c>
    </row>
    <row r="27" spans="1:9" ht="15.75" customHeight="1">
      <c r="A27" s="11" t="s">
        <v>239</v>
      </c>
      <c r="B27" s="18">
        <v>0.8518</v>
      </c>
    </row>
    <row r="28" spans="1:9" ht="15.75" customHeight="1">
      <c r="A28" s="11" t="s">
        <v>31</v>
      </c>
      <c r="B28" s="18">
        <v>0.1043</v>
      </c>
    </row>
    <row r="29" spans="1:9" ht="15.75" customHeight="1">
      <c r="A29" s="11" t="s">
        <v>240</v>
      </c>
      <c r="B29" s="18">
        <v>3.7100000000000001E-2</v>
      </c>
    </row>
    <row r="30" spans="1:9" ht="15.75" customHeight="1">
      <c r="A30" s="11" t="s">
        <v>241</v>
      </c>
      <c r="B30" s="18">
        <v>6.8999999999999999E-3</v>
      </c>
    </row>
    <row r="31" spans="1:9" ht="15.75" customHeight="1"/>
    <row r="32" spans="1:9" ht="15.75" customHeight="1">
      <c r="A32" s="53" t="s">
        <v>33</v>
      </c>
    </row>
    <row r="33" spans="1:5" ht="15.75" customHeight="1"/>
    <row r="34" spans="1:5" ht="15.75" customHeight="1">
      <c r="A34" s="12" t="s">
        <v>34</v>
      </c>
      <c r="B34" s="12" t="s">
        <v>35</v>
      </c>
      <c r="C34" s="12" t="s">
        <v>36</v>
      </c>
      <c r="D34" s="12" t="s">
        <v>341</v>
      </c>
      <c r="E34" s="12"/>
    </row>
    <row r="35" spans="1:5" ht="15.75" customHeight="1">
      <c r="A35" s="13" t="s">
        <v>226</v>
      </c>
      <c r="B35" s="14" t="s">
        <v>242</v>
      </c>
      <c r="C35" s="15" t="s">
        <v>70</v>
      </c>
      <c r="D35" s="15" t="s">
        <v>228</v>
      </c>
      <c r="E35" s="12"/>
    </row>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J999"/>
  <sheetViews>
    <sheetView topLeftCell="A27" workbookViewId="0">
      <selection activeCell="D33" sqref="D33"/>
    </sheetView>
  </sheetViews>
  <sheetFormatPr baseColWidth="10" defaultColWidth="14.453125" defaultRowHeight="15" customHeight="1"/>
  <cols>
    <col min="1" max="1" width="44.54296875" customWidth="1"/>
    <col min="2" max="2" width="12.7265625" customWidth="1"/>
    <col min="3" max="5" width="8.7265625" customWidth="1"/>
  </cols>
  <sheetData>
    <row r="1" spans="1:9" ht="14.5">
      <c r="A1" s="53" t="s">
        <v>315</v>
      </c>
      <c r="B1" s="53" t="s">
        <v>317</v>
      </c>
    </row>
    <row r="2" spans="1:9" ht="72.5">
      <c r="A2" s="52" t="s">
        <v>243</v>
      </c>
      <c r="B2" s="67" t="s">
        <v>328</v>
      </c>
    </row>
    <row r="3" spans="1:9" ht="15.75" customHeight="1"/>
    <row r="4" spans="1:9" ht="15.75" customHeight="1">
      <c r="A4" s="54" t="s">
        <v>100</v>
      </c>
      <c r="B4" s="69">
        <v>12765825</v>
      </c>
      <c r="C4" s="69">
        <v>12765825</v>
      </c>
      <c r="D4" s="69">
        <v>12765825</v>
      </c>
      <c r="E4" s="69">
        <v>12765825</v>
      </c>
    </row>
    <row r="5" spans="1:9" ht="15.75" customHeight="1">
      <c r="B5" s="71"/>
      <c r="C5" s="71"/>
      <c r="D5" s="71"/>
      <c r="E5" s="71"/>
      <c r="H5" s="30"/>
    </row>
    <row r="6" spans="1:9" ht="15.75" customHeight="1">
      <c r="A6" s="17" t="s">
        <v>6</v>
      </c>
      <c r="B6" s="70">
        <v>2021</v>
      </c>
      <c r="C6" s="70">
        <v>2022</v>
      </c>
      <c r="D6" s="70">
        <v>2023</v>
      </c>
      <c r="E6" s="70">
        <v>2024</v>
      </c>
      <c r="H6" s="30"/>
    </row>
    <row r="7" spans="1:9" ht="15.75" customHeight="1">
      <c r="A7" s="11" t="s">
        <v>215</v>
      </c>
      <c r="B7" s="74">
        <v>104.72719600000001</v>
      </c>
      <c r="C7" s="74">
        <v>110.4252</v>
      </c>
      <c r="D7" s="74">
        <v>107.934</v>
      </c>
      <c r="E7" s="85">
        <v>131.80289999999999</v>
      </c>
      <c r="F7" s="30"/>
      <c r="G7" s="30"/>
      <c r="H7" s="30"/>
      <c r="I7" s="87"/>
    </row>
    <row r="8" spans="1:9" ht="15.75" customHeight="1">
      <c r="A8" s="11" t="s">
        <v>244</v>
      </c>
      <c r="B8" s="74">
        <v>3401.3924769999999</v>
      </c>
      <c r="C8" s="74">
        <v>2438.7002910000001</v>
      </c>
      <c r="D8" s="74">
        <v>3550.5671470000002</v>
      </c>
      <c r="E8" s="74">
        <v>1782.2830779999999</v>
      </c>
      <c r="F8" s="30"/>
      <c r="G8" s="30"/>
      <c r="H8" s="30"/>
    </row>
    <row r="9" spans="1:9" ht="15.75" customHeight="1">
      <c r="A9" s="11" t="s">
        <v>245</v>
      </c>
      <c r="B9" s="74">
        <v>9690.7669170000008</v>
      </c>
      <c r="C9" s="74">
        <v>7358.8905180000002</v>
      </c>
      <c r="D9" s="74">
        <v>9058.1720619999996</v>
      </c>
      <c r="E9" s="74">
        <v>6675.6474280000002</v>
      </c>
      <c r="F9" s="30"/>
      <c r="G9" s="30"/>
      <c r="H9" s="30"/>
    </row>
    <row r="10" spans="1:9" ht="15.75" customHeight="1">
      <c r="A10" s="11" t="s">
        <v>14</v>
      </c>
      <c r="B10" s="74">
        <v>3758.198742</v>
      </c>
      <c r="C10" s="74">
        <v>4970.5032019999999</v>
      </c>
      <c r="D10" s="74">
        <v>5637.643384</v>
      </c>
      <c r="E10" s="74">
        <v>3718.2720260000001</v>
      </c>
      <c r="F10" s="30"/>
      <c r="G10" s="30"/>
      <c r="H10" s="30"/>
    </row>
    <row r="11" spans="1:9" ht="15.75" customHeight="1">
      <c r="A11" s="11" t="s">
        <v>216</v>
      </c>
      <c r="B11" s="74">
        <v>5838.5114560000002</v>
      </c>
      <c r="C11" s="74">
        <v>2295.7976920000001</v>
      </c>
      <c r="D11" s="74">
        <v>3340.879156</v>
      </c>
      <c r="E11" s="74">
        <v>1711.835816</v>
      </c>
      <c r="F11" s="30"/>
      <c r="G11" s="30"/>
      <c r="H11" s="30"/>
    </row>
    <row r="12" spans="1:9" ht="15.75" customHeight="1">
      <c r="A12" s="11" t="s">
        <v>246</v>
      </c>
      <c r="B12" s="74">
        <v>8874.2461010000006</v>
      </c>
      <c r="C12" s="74">
        <v>8988.0631840000005</v>
      </c>
      <c r="D12" s="74">
        <v>8525.4362299999993</v>
      </c>
      <c r="E12" s="74">
        <v>6744.2557740000002</v>
      </c>
      <c r="F12" s="30"/>
      <c r="G12" s="30"/>
      <c r="H12" s="30"/>
    </row>
    <row r="13" spans="1:9" ht="15.75" customHeight="1">
      <c r="A13" s="11" t="s">
        <v>217</v>
      </c>
      <c r="B13" s="74">
        <v>2271.2422499999998</v>
      </c>
      <c r="C13" s="74">
        <v>2318.5918409999999</v>
      </c>
      <c r="D13" s="74">
        <v>2352.2715199999998</v>
      </c>
      <c r="E13" s="74">
        <v>1109.991176</v>
      </c>
      <c r="F13" s="30"/>
      <c r="G13" s="30"/>
      <c r="H13" s="30"/>
    </row>
    <row r="14" spans="1:9" ht="15.75" customHeight="1">
      <c r="A14" s="11" t="s">
        <v>247</v>
      </c>
      <c r="B14" s="74">
        <v>1895.6854980000001</v>
      </c>
      <c r="C14" s="74">
        <v>1903.3833279999999</v>
      </c>
      <c r="D14" s="74">
        <v>1974.0830450000001</v>
      </c>
      <c r="E14" s="74">
        <v>714.92177800000002</v>
      </c>
      <c r="F14" s="30"/>
      <c r="G14" s="30"/>
      <c r="H14" s="30"/>
    </row>
    <row r="15" spans="1:9" ht="15.75" customHeight="1">
      <c r="A15" s="11" t="s">
        <v>248</v>
      </c>
      <c r="B15" s="74">
        <v>1787.6498340000001</v>
      </c>
      <c r="C15" s="74">
        <v>1794.653147</v>
      </c>
      <c r="D15" s="74">
        <v>1850.072232</v>
      </c>
      <c r="E15" s="74">
        <v>603.45311200000003</v>
      </c>
      <c r="F15" s="30"/>
      <c r="G15" s="30"/>
      <c r="H15" s="30"/>
    </row>
    <row r="16" spans="1:9" ht="15.75" customHeight="1">
      <c r="A16" s="11" t="s">
        <v>249</v>
      </c>
      <c r="B16" s="74">
        <v>1787.23404</v>
      </c>
      <c r="C16" s="74">
        <v>1800.5651479999999</v>
      </c>
      <c r="D16" s="74">
        <v>1843.578704</v>
      </c>
      <c r="E16" s="74">
        <v>598.80147399999998</v>
      </c>
      <c r="F16" s="30"/>
      <c r="G16" s="30"/>
    </row>
    <row r="17" spans="1:10" ht="15.75" customHeight="1">
      <c r="A17" s="11" t="s">
        <v>250</v>
      </c>
      <c r="B17" s="74">
        <v>980.24789299999998</v>
      </c>
      <c r="C17" s="74">
        <v>1212.3044600000001</v>
      </c>
      <c r="D17" s="74">
        <v>1167.1401820000001</v>
      </c>
      <c r="E17" s="74">
        <v>-759.37135799999999</v>
      </c>
      <c r="F17" s="30"/>
      <c r="G17" s="30"/>
    </row>
    <row r="18" spans="1:10" ht="15.75" customHeight="1">
      <c r="A18" s="11" t="s">
        <v>22</v>
      </c>
      <c r="B18" s="74">
        <f>B21/(B17*1000000/B4)</f>
        <v>8.1394111448500706</v>
      </c>
      <c r="C18" s="74">
        <f>C21/(C17*1000000/C4)</f>
        <v>8.4241709380496719</v>
      </c>
      <c r="D18" s="74">
        <f>D21/(D17*1000000/D4)</f>
        <v>7.9298299105256929</v>
      </c>
      <c r="E18" s="74"/>
    </row>
    <row r="19" spans="1:10" ht="15.75" customHeight="1">
      <c r="A19" s="11" t="s">
        <v>23</v>
      </c>
      <c r="B19" s="74"/>
      <c r="C19" s="74">
        <f>(C23*1000000*0.9)/B4</f>
        <v>35.250365722544373</v>
      </c>
      <c r="D19" s="74">
        <f>(D23*1000000*0.9)/C4</f>
        <v>81.780848476302936</v>
      </c>
      <c r="E19" s="74"/>
    </row>
    <row r="20" spans="1:10" ht="15.75" customHeight="1">
      <c r="A20" s="11" t="s">
        <v>24</v>
      </c>
      <c r="B20" s="74">
        <v>94.056719000000001</v>
      </c>
      <c r="C20" s="74">
        <v>92.589624000000001</v>
      </c>
      <c r="D20" s="74">
        <v>79.649522000000005</v>
      </c>
      <c r="E20" s="74">
        <v>1245.5395860000001</v>
      </c>
    </row>
    <row r="21" spans="1:10" ht="15.75" customHeight="1">
      <c r="A21" s="11" t="s">
        <v>25</v>
      </c>
      <c r="B21" s="69">
        <v>625</v>
      </c>
      <c r="C21" s="69">
        <v>800</v>
      </c>
      <c r="D21" s="69">
        <v>725</v>
      </c>
      <c r="E21" s="69">
        <v>750</v>
      </c>
    </row>
    <row r="22" spans="1:10" ht="15.75" customHeight="1">
      <c r="A22" s="11" t="s">
        <v>251</v>
      </c>
      <c r="B22" s="74">
        <v>19.486808</v>
      </c>
      <c r="C22" s="74">
        <v>15.077069</v>
      </c>
      <c r="D22" s="74">
        <v>5.1609999999999996</v>
      </c>
      <c r="E22" s="74">
        <v>32.668340000000001</v>
      </c>
    </row>
    <row r="23" spans="1:10" ht="15.75" customHeight="1">
      <c r="A23" s="11" t="s">
        <v>27</v>
      </c>
      <c r="B23" s="74"/>
      <c r="C23" s="74">
        <v>500</v>
      </c>
      <c r="D23" s="74">
        <v>1160</v>
      </c>
      <c r="E23" s="74"/>
      <c r="H23" s="17"/>
      <c r="I23" s="17"/>
      <c r="J23" s="17"/>
    </row>
    <row r="24" spans="1:10" ht="15.75" customHeight="1"/>
    <row r="25" spans="1:10" ht="15.75" customHeight="1">
      <c r="F25" s="17"/>
      <c r="G25" s="17"/>
    </row>
    <row r="26" spans="1:10" ht="15.75" customHeight="1">
      <c r="A26" s="17" t="s">
        <v>28</v>
      </c>
      <c r="B26" s="17" t="s">
        <v>29</v>
      </c>
    </row>
    <row r="27" spans="1:10" ht="15.75" customHeight="1">
      <c r="A27" s="11" t="s">
        <v>252</v>
      </c>
      <c r="B27" s="18">
        <v>0.7056</v>
      </c>
    </row>
    <row r="28" spans="1:10" ht="15.75" customHeight="1">
      <c r="A28" s="11" t="s">
        <v>31</v>
      </c>
      <c r="B28" s="18">
        <v>0.18940000000000001</v>
      </c>
    </row>
    <row r="29" spans="1:10" ht="15.75" customHeight="1">
      <c r="A29" s="11" t="s">
        <v>253</v>
      </c>
      <c r="B29" s="18">
        <v>0.105</v>
      </c>
    </row>
    <row r="30" spans="1:10" ht="15.75" customHeight="1">
      <c r="B30" s="18"/>
    </row>
    <row r="31" spans="1:10" ht="15.75" customHeight="1">
      <c r="A31" s="53" t="s">
        <v>33</v>
      </c>
    </row>
    <row r="32" spans="1:10" ht="15.75" customHeight="1"/>
    <row r="33" spans="1:7" ht="15.75" customHeight="1">
      <c r="A33" s="12" t="s">
        <v>34</v>
      </c>
      <c r="B33" s="12" t="s">
        <v>35</v>
      </c>
      <c r="C33" s="12" t="s">
        <v>36</v>
      </c>
      <c r="D33" s="12" t="s">
        <v>341</v>
      </c>
      <c r="E33" s="12"/>
    </row>
    <row r="34" spans="1:7" ht="15.75" customHeight="1">
      <c r="A34" s="13" t="s">
        <v>254</v>
      </c>
      <c r="B34" s="14" t="s">
        <v>255</v>
      </c>
      <c r="C34" s="15" t="s">
        <v>70</v>
      </c>
      <c r="D34" s="15" t="s">
        <v>256</v>
      </c>
      <c r="E34" s="12"/>
    </row>
    <row r="35" spans="1:7" ht="15.75" customHeight="1"/>
    <row r="36" spans="1:7" ht="15.75" customHeight="1">
      <c r="A36" s="45"/>
      <c r="B36" s="17" t="s">
        <v>42</v>
      </c>
      <c r="C36" s="17" t="s">
        <v>43</v>
      </c>
      <c r="D36" s="17" t="s">
        <v>44</v>
      </c>
      <c r="E36" s="17" t="s">
        <v>45</v>
      </c>
      <c r="F36" s="17" t="s">
        <v>46</v>
      </c>
      <c r="G36" s="17" t="s">
        <v>47</v>
      </c>
    </row>
    <row r="37" spans="1:7" ht="15.75" customHeight="1">
      <c r="A37" s="11" t="s">
        <v>146</v>
      </c>
      <c r="B37" s="11">
        <v>48.534242999999996</v>
      </c>
      <c r="D37" s="11">
        <v>1174.5378000000001</v>
      </c>
      <c r="F37" s="11">
        <v>3406.085967</v>
      </c>
    </row>
    <row r="38" spans="1:7" ht="15.75" customHeight="1">
      <c r="A38" s="11" t="s">
        <v>51</v>
      </c>
      <c r="B38" s="11">
        <v>-189.94957600000001</v>
      </c>
      <c r="C38" s="18">
        <v>-1.01</v>
      </c>
      <c r="D38" s="11">
        <v>1088.0440060000001</v>
      </c>
      <c r="E38" s="18">
        <v>54</v>
      </c>
      <c r="F38" s="11">
        <v>1596.5197800000001</v>
      </c>
      <c r="G38" s="18">
        <v>1.25</v>
      </c>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dimension ref="A1:I998"/>
  <sheetViews>
    <sheetView topLeftCell="A25" workbookViewId="0">
      <selection activeCell="D30" sqref="D30"/>
    </sheetView>
  </sheetViews>
  <sheetFormatPr baseColWidth="10" defaultColWidth="14.453125" defaultRowHeight="15" customHeight="1"/>
  <cols>
    <col min="1" max="1" width="44.54296875" customWidth="1"/>
    <col min="2" max="2" width="12.7265625" customWidth="1"/>
    <col min="3" max="5" width="8.7265625" customWidth="1"/>
  </cols>
  <sheetData>
    <row r="1" spans="1:6" ht="14.5">
      <c r="A1" s="53" t="s">
        <v>315</v>
      </c>
      <c r="B1" s="53" t="s">
        <v>317</v>
      </c>
    </row>
    <row r="2" spans="1:6" ht="116">
      <c r="A2" s="52" t="s">
        <v>257</v>
      </c>
      <c r="B2" s="67" t="s">
        <v>327</v>
      </c>
    </row>
    <row r="3" spans="1:6" ht="15.75" customHeight="1"/>
    <row r="4" spans="1:6" ht="15.75" customHeight="1">
      <c r="A4" s="54" t="s">
        <v>100</v>
      </c>
      <c r="B4" s="69">
        <v>20000000</v>
      </c>
      <c r="C4" s="71"/>
      <c r="D4" s="71"/>
      <c r="E4" s="71"/>
    </row>
    <row r="5" spans="1:6" ht="15.75" customHeight="1">
      <c r="B5" s="71"/>
      <c r="C5" s="71"/>
      <c r="D5" s="71"/>
      <c r="E5" s="71"/>
    </row>
    <row r="6" spans="1:6" ht="15.75" customHeight="1">
      <c r="A6" s="17" t="s">
        <v>6</v>
      </c>
      <c r="B6" s="70">
        <v>2021</v>
      </c>
      <c r="C6" s="70">
        <v>2022</v>
      </c>
      <c r="D6" s="70">
        <v>2023</v>
      </c>
      <c r="E6" s="70">
        <v>2024</v>
      </c>
    </row>
    <row r="7" spans="1:6" ht="15.75" customHeight="1">
      <c r="A7" s="11" t="s">
        <v>11</v>
      </c>
      <c r="B7" s="69">
        <v>14572</v>
      </c>
      <c r="C7" s="69">
        <v>14863</v>
      </c>
      <c r="D7" s="69">
        <v>16932</v>
      </c>
      <c r="E7" s="86">
        <v>17664.169999999998</v>
      </c>
      <c r="F7" s="30"/>
    </row>
    <row r="8" spans="1:6" ht="15.75" customHeight="1">
      <c r="A8" s="11" t="s">
        <v>214</v>
      </c>
      <c r="B8" s="69">
        <v>2484</v>
      </c>
      <c r="C8" s="69">
        <v>5676</v>
      </c>
      <c r="D8" s="69">
        <v>4524</v>
      </c>
      <c r="E8" s="69">
        <v>5691.8549999999996</v>
      </c>
    </row>
    <row r="9" spans="1:6" ht="15.75" customHeight="1">
      <c r="A9" s="11" t="s">
        <v>13</v>
      </c>
      <c r="B9" s="69">
        <v>31453</v>
      </c>
      <c r="C9" s="69">
        <v>36444</v>
      </c>
      <c r="D9" s="69">
        <v>40646</v>
      </c>
      <c r="E9" s="69">
        <v>29052.629000000001</v>
      </c>
    </row>
    <row r="10" spans="1:6" ht="15.75" customHeight="1">
      <c r="A10" s="11" t="s">
        <v>14</v>
      </c>
      <c r="B10" s="69">
        <v>22656</v>
      </c>
      <c r="C10" s="69">
        <v>29493</v>
      </c>
      <c r="D10" s="69">
        <v>33417</v>
      </c>
      <c r="E10" s="69">
        <v>23614.741000000002</v>
      </c>
    </row>
    <row r="11" spans="1:6" ht="15.75" customHeight="1">
      <c r="A11" s="11" t="s">
        <v>216</v>
      </c>
      <c r="B11" s="69">
        <v>7655</v>
      </c>
      <c r="C11" s="69">
        <v>6201</v>
      </c>
      <c r="D11" s="69">
        <v>6268</v>
      </c>
      <c r="E11" s="69">
        <v>4446.0749999999998</v>
      </c>
    </row>
    <row r="12" spans="1:6" ht="15.75" customHeight="1">
      <c r="A12" s="11" t="s">
        <v>16</v>
      </c>
      <c r="B12" s="69">
        <v>79934</v>
      </c>
      <c r="C12" s="69">
        <v>74289</v>
      </c>
      <c r="D12" s="69">
        <v>93915</v>
      </c>
      <c r="E12" s="69">
        <v>102543.617</v>
      </c>
    </row>
    <row r="13" spans="1:6" ht="15.75" customHeight="1">
      <c r="A13" s="11" t="s">
        <v>17</v>
      </c>
      <c r="B13" s="69">
        <v>12788</v>
      </c>
      <c r="C13" s="69">
        <v>12786</v>
      </c>
      <c r="D13" s="69">
        <v>9307</v>
      </c>
      <c r="E13" s="69">
        <v>8659.6769999999997</v>
      </c>
    </row>
    <row r="14" spans="1:6" ht="15.75" customHeight="1">
      <c r="A14" s="11" t="s">
        <v>18</v>
      </c>
      <c r="B14" s="69">
        <v>10599</v>
      </c>
      <c r="C14" s="69">
        <v>9863</v>
      </c>
      <c r="D14" s="69">
        <v>5972</v>
      </c>
      <c r="E14" s="69">
        <v>5171.2650000000003</v>
      </c>
    </row>
    <row r="15" spans="1:6" ht="15.75" customHeight="1">
      <c r="A15" s="11" t="s">
        <v>248</v>
      </c>
      <c r="B15" s="69">
        <v>10186</v>
      </c>
      <c r="C15" s="69">
        <v>8836</v>
      </c>
      <c r="D15" s="69">
        <v>5122</v>
      </c>
      <c r="E15" s="69">
        <v>4558.3419999999996</v>
      </c>
    </row>
    <row r="16" spans="1:6" ht="15.75" customHeight="1">
      <c r="A16" s="11" t="s">
        <v>258</v>
      </c>
      <c r="B16" s="69">
        <v>10869</v>
      </c>
      <c r="C16" s="69">
        <v>10090</v>
      </c>
      <c r="D16" s="69">
        <v>6189</v>
      </c>
      <c r="E16" s="69">
        <v>5362.5640000000003</v>
      </c>
    </row>
    <row r="17" spans="1:9" ht="15.75" customHeight="1">
      <c r="A17" s="11" t="s">
        <v>51</v>
      </c>
      <c r="B17" s="69">
        <v>5072</v>
      </c>
      <c r="C17" s="69">
        <v>6745</v>
      </c>
      <c r="D17" s="69">
        <v>3914</v>
      </c>
      <c r="E17" s="69">
        <v>7175.5540000000001</v>
      </c>
      <c r="H17" s="24"/>
      <c r="I17" s="46"/>
    </row>
    <row r="18" spans="1:9" ht="15.75" customHeight="1">
      <c r="A18" s="11" t="s">
        <v>22</v>
      </c>
      <c r="B18" s="69"/>
      <c r="C18" s="69"/>
      <c r="D18" s="69"/>
      <c r="E18" s="69">
        <v>10.87</v>
      </c>
    </row>
    <row r="19" spans="1:9" ht="15.75" customHeight="1">
      <c r="A19" s="11" t="s">
        <v>234</v>
      </c>
      <c r="B19" s="69">
        <v>107.1</v>
      </c>
      <c r="C19" s="69">
        <v>107.1</v>
      </c>
      <c r="D19" s="69"/>
      <c r="E19" s="69">
        <v>275.5</v>
      </c>
    </row>
    <row r="20" spans="1:9" ht="15.75" customHeight="1">
      <c r="A20" s="11" t="s">
        <v>24</v>
      </c>
      <c r="B20" s="69">
        <v>1142</v>
      </c>
      <c r="C20" s="69">
        <v>749</v>
      </c>
      <c r="D20" s="69">
        <v>961</v>
      </c>
      <c r="E20" s="69">
        <v>989.56799999999998</v>
      </c>
    </row>
    <row r="21" spans="1:9" ht="15.75" customHeight="1">
      <c r="A21" s="11" t="s">
        <v>235</v>
      </c>
      <c r="B21" s="69"/>
      <c r="C21" s="69"/>
      <c r="D21" s="69"/>
      <c r="E21" s="69">
        <v>3900</v>
      </c>
    </row>
    <row r="22" spans="1:9" ht="15.75" customHeight="1">
      <c r="A22" s="11" t="s">
        <v>251</v>
      </c>
      <c r="B22" s="69"/>
      <c r="C22" s="69"/>
      <c r="D22" s="69"/>
      <c r="E22" s="69">
        <v>1061.771</v>
      </c>
    </row>
    <row r="23" spans="1:9" ht="15.75" customHeight="1">
      <c r="A23" s="11" t="s">
        <v>27</v>
      </c>
      <c r="B23" s="69"/>
      <c r="C23" s="69"/>
      <c r="D23" s="69">
        <f>(1.05*D19*D4/1000000)</f>
        <v>0</v>
      </c>
      <c r="E23" s="69">
        <v>5800</v>
      </c>
    </row>
    <row r="24" spans="1:9" ht="15.75" customHeight="1"/>
    <row r="25" spans="1:9" ht="15.75" customHeight="1">
      <c r="A25" s="68" t="s">
        <v>28</v>
      </c>
      <c r="B25" s="17"/>
    </row>
    <row r="26" spans="1:9" ht="15.75" customHeight="1">
      <c r="B26" s="18"/>
    </row>
    <row r="27" spans="1:9" ht="15.75" customHeight="1">
      <c r="B27" s="18"/>
    </row>
    <row r="28" spans="1:9" ht="15.75" customHeight="1">
      <c r="A28" s="53" t="s">
        <v>33</v>
      </c>
      <c r="B28" s="18"/>
    </row>
    <row r="29" spans="1:9" ht="15.75" customHeight="1">
      <c r="B29" s="18"/>
    </row>
    <row r="30" spans="1:9" ht="15.75" customHeight="1">
      <c r="A30" s="12" t="s">
        <v>34</v>
      </c>
      <c r="B30" s="12" t="s">
        <v>35</v>
      </c>
      <c r="C30" s="12" t="s">
        <v>36</v>
      </c>
      <c r="D30" s="12" t="s">
        <v>341</v>
      </c>
      <c r="E30" s="12"/>
    </row>
    <row r="31" spans="1:9" ht="15.75" customHeight="1">
      <c r="A31" s="13" t="s">
        <v>259</v>
      </c>
      <c r="B31" s="14" t="s">
        <v>260</v>
      </c>
      <c r="C31" s="15" t="s">
        <v>261</v>
      </c>
      <c r="D31" s="15" t="s">
        <v>262</v>
      </c>
      <c r="E31" s="12"/>
    </row>
    <row r="32" spans="1:9" ht="15.75" customHeight="1"/>
    <row r="33" spans="1:7" ht="15.75" customHeight="1">
      <c r="A33" s="16"/>
      <c r="B33" s="17" t="s">
        <v>42</v>
      </c>
      <c r="C33" s="17" t="s">
        <v>43</v>
      </c>
      <c r="D33" s="17" t="s">
        <v>44</v>
      </c>
      <c r="E33" s="17" t="s">
        <v>45</v>
      </c>
      <c r="F33" s="17" t="s">
        <v>46</v>
      </c>
      <c r="G33" s="17" t="s">
        <v>47</v>
      </c>
    </row>
    <row r="34" spans="1:7" ht="15.75" customHeight="1">
      <c r="A34" s="11" t="s">
        <v>146</v>
      </c>
      <c r="B34" s="11">
        <v>24189</v>
      </c>
      <c r="D34" s="11">
        <v>48148</v>
      </c>
      <c r="F34" s="11">
        <v>72479</v>
      </c>
    </row>
    <row r="35" spans="1:7" ht="15.75" customHeight="1">
      <c r="A35" s="11" t="s">
        <v>51</v>
      </c>
      <c r="B35" s="11">
        <v>1573</v>
      </c>
      <c r="C35" s="18">
        <v>0.05</v>
      </c>
      <c r="D35" s="11">
        <v>841</v>
      </c>
      <c r="E35" s="18">
        <v>-0.77</v>
      </c>
      <c r="F35" s="11">
        <v>1034</v>
      </c>
      <c r="G35" s="18">
        <v>-0.81</v>
      </c>
    </row>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J999"/>
  <sheetViews>
    <sheetView topLeftCell="A18" workbookViewId="0">
      <selection activeCell="D33" sqref="D33"/>
    </sheetView>
  </sheetViews>
  <sheetFormatPr baseColWidth="10" defaultColWidth="14.453125" defaultRowHeight="15" customHeight="1"/>
  <cols>
    <col min="1" max="1" width="44.54296875" customWidth="1"/>
    <col min="2" max="2" width="12.7265625" customWidth="1"/>
    <col min="3" max="5" width="8.7265625" customWidth="1"/>
  </cols>
  <sheetData>
    <row r="1" spans="1:5" ht="14.5">
      <c r="A1" s="53" t="s">
        <v>315</v>
      </c>
      <c r="B1" s="53" t="s">
        <v>317</v>
      </c>
    </row>
    <row r="2" spans="1:5" ht="101.5">
      <c r="A2" s="52" t="s">
        <v>263</v>
      </c>
      <c r="B2" s="67" t="s">
        <v>326</v>
      </c>
    </row>
    <row r="3" spans="1:5" ht="15.75" customHeight="1"/>
    <row r="4" spans="1:5" ht="15.75" customHeight="1">
      <c r="A4" s="54" t="s">
        <v>100</v>
      </c>
      <c r="B4" s="69">
        <v>15459316</v>
      </c>
      <c r="C4" s="69">
        <v>15459316</v>
      </c>
      <c r="D4" s="69">
        <v>15459316</v>
      </c>
      <c r="E4" s="69">
        <v>15459316</v>
      </c>
    </row>
    <row r="5" spans="1:5" ht="15.75" customHeight="1">
      <c r="A5" s="17"/>
      <c r="B5" s="70"/>
      <c r="C5" s="70"/>
      <c r="D5" s="70"/>
      <c r="E5" s="70"/>
    </row>
    <row r="6" spans="1:5" ht="15.75" customHeight="1">
      <c r="A6" s="17" t="s">
        <v>6</v>
      </c>
      <c r="B6" s="70">
        <v>2021</v>
      </c>
      <c r="C6" s="70">
        <v>2022</v>
      </c>
      <c r="D6" s="70">
        <v>2023</v>
      </c>
      <c r="E6" s="70">
        <v>2024</v>
      </c>
    </row>
    <row r="7" spans="1:5" ht="15.75" customHeight="1">
      <c r="A7" s="11" t="s">
        <v>215</v>
      </c>
      <c r="B7" s="69">
        <v>89087.771999999997</v>
      </c>
      <c r="C7" s="69">
        <v>90527.45</v>
      </c>
      <c r="D7" s="69">
        <v>95325.64</v>
      </c>
      <c r="E7" s="86">
        <v>99526.7</v>
      </c>
    </row>
    <row r="8" spans="1:5" ht="15.75" customHeight="1">
      <c r="A8" s="11" t="s">
        <v>214</v>
      </c>
      <c r="B8" s="69">
        <v>62919.277999999998</v>
      </c>
      <c r="C8" s="69">
        <v>89609.941000000006</v>
      </c>
      <c r="D8" s="69">
        <v>91171.084000000003</v>
      </c>
      <c r="E8" s="69">
        <v>93705.505999999994</v>
      </c>
    </row>
    <row r="9" spans="1:5" ht="15.75" customHeight="1">
      <c r="A9" s="11" t="s">
        <v>13</v>
      </c>
      <c r="B9" s="69">
        <v>167045.71299999999</v>
      </c>
      <c r="C9" s="69">
        <v>211882.054</v>
      </c>
      <c r="D9" s="69">
        <v>205938.435</v>
      </c>
      <c r="E9" s="69">
        <v>202603.31899999999</v>
      </c>
    </row>
    <row r="10" spans="1:5" ht="15.75" customHeight="1">
      <c r="A10" s="11" t="s">
        <v>14</v>
      </c>
      <c r="B10" s="69">
        <v>109913.55899999999</v>
      </c>
      <c r="C10" s="69">
        <v>130370.171</v>
      </c>
      <c r="D10" s="69">
        <v>128875.431</v>
      </c>
      <c r="E10" s="69">
        <v>135061.15100000001</v>
      </c>
    </row>
    <row r="11" spans="1:5" ht="15.75" customHeight="1">
      <c r="A11" s="11" t="s">
        <v>216</v>
      </c>
      <c r="B11" s="69">
        <v>37448.887000000002</v>
      </c>
      <c r="C11" s="69">
        <v>70900.107000000004</v>
      </c>
      <c r="D11" s="69">
        <v>42473.409</v>
      </c>
      <c r="E11" s="69">
        <v>41473.506000000001</v>
      </c>
    </row>
    <row r="12" spans="1:5" ht="15.75" customHeight="1">
      <c r="A12" s="11" t="s">
        <v>16</v>
      </c>
      <c r="B12" s="69">
        <v>195659.42800000001</v>
      </c>
      <c r="C12" s="69">
        <v>232712.92199999999</v>
      </c>
      <c r="D12" s="69">
        <v>206244.391</v>
      </c>
      <c r="E12" s="69">
        <v>172182.50200000001</v>
      </c>
    </row>
    <row r="13" spans="1:5" ht="15.75" customHeight="1">
      <c r="A13" s="11" t="s">
        <v>17</v>
      </c>
      <c r="B13" s="69">
        <v>93290.513999999996</v>
      </c>
      <c r="C13" s="69">
        <v>93732.274999999994</v>
      </c>
      <c r="D13" s="69">
        <v>70925.922999999995</v>
      </c>
      <c r="E13" s="69">
        <v>65600.006999999998</v>
      </c>
    </row>
    <row r="14" spans="1:5" ht="15.75" customHeight="1">
      <c r="A14" s="11" t="s">
        <v>18</v>
      </c>
      <c r="B14" s="69">
        <v>55033.788</v>
      </c>
      <c r="C14" s="69">
        <v>55980.47</v>
      </c>
      <c r="D14" s="69">
        <v>28881.437999999998</v>
      </c>
      <c r="E14" s="69">
        <v>21924.636999999999</v>
      </c>
    </row>
    <row r="15" spans="1:5" ht="15.75" customHeight="1">
      <c r="A15" s="11" t="s">
        <v>219</v>
      </c>
      <c r="B15" s="69">
        <v>56689.991000000002</v>
      </c>
      <c r="C15" s="69">
        <v>56649.930999999997</v>
      </c>
      <c r="D15" s="69">
        <v>28502.239000000001</v>
      </c>
      <c r="E15" s="69">
        <v>19393.764999999999</v>
      </c>
    </row>
    <row r="16" spans="1:5" ht="15.75" customHeight="1">
      <c r="A16" s="11" t="s">
        <v>220</v>
      </c>
      <c r="B16" s="69">
        <v>69107.337</v>
      </c>
      <c r="C16" s="69">
        <v>69917.274000000005</v>
      </c>
      <c r="D16" s="69">
        <v>42575.37</v>
      </c>
      <c r="E16" s="69">
        <v>37115.862000000001</v>
      </c>
    </row>
    <row r="17" spans="1:10" ht="15.75" customHeight="1">
      <c r="A17" s="11" t="s">
        <v>51</v>
      </c>
      <c r="B17" s="69">
        <v>42473.120000000003</v>
      </c>
      <c r="C17" s="69">
        <v>41693.171999999999</v>
      </c>
      <c r="D17" s="69">
        <v>19351.846000000001</v>
      </c>
      <c r="E17" s="69">
        <v>15861.643</v>
      </c>
    </row>
    <row r="18" spans="1:10" ht="15.75" customHeight="1">
      <c r="A18" s="11" t="s">
        <v>264</v>
      </c>
      <c r="B18" s="74">
        <f>B21/(B17*1000000/B4)</f>
        <v>2.5442119354547064</v>
      </c>
      <c r="C18" s="74">
        <f>C21/(C17*1000000/C4)</f>
        <v>3.8506304260083644</v>
      </c>
      <c r="D18" s="74">
        <f>D21/(D17*1000000/D4)</f>
        <v>5.3922702257965467</v>
      </c>
      <c r="E18" s="74">
        <f>E21/(E17*1000000/E4)</f>
        <v>4.8731761268362934</v>
      </c>
    </row>
    <row r="19" spans="1:10" ht="15.75" customHeight="1">
      <c r="A19" s="11" t="s">
        <v>23</v>
      </c>
      <c r="B19" s="74">
        <f>(B23*0.9*1000000)/B4</f>
        <v>1236.3356826395168</v>
      </c>
      <c r="C19" s="74">
        <f>(C23*0.9*1000000)/C4</f>
        <v>1213.6324401415948</v>
      </c>
      <c r="D19" s="74">
        <f>(D23*0.9*1000000)/D4</f>
        <v>563.30633903854482</v>
      </c>
      <c r="E19" s="74">
        <f>(E23*0.88*1000000)/E4</f>
        <v>451.45092318444102</v>
      </c>
    </row>
    <row r="20" spans="1:10" ht="15.75" customHeight="1">
      <c r="A20" s="11" t="s">
        <v>24</v>
      </c>
      <c r="B20" s="69">
        <v>17237.901999999998</v>
      </c>
      <c r="C20" s="69">
        <v>10611.776</v>
      </c>
      <c r="D20" s="69">
        <v>7328.1670000000004</v>
      </c>
      <c r="E20" s="69">
        <v>4047.029</v>
      </c>
    </row>
    <row r="21" spans="1:10" ht="15.75" customHeight="1">
      <c r="A21" s="11" t="s">
        <v>235</v>
      </c>
      <c r="B21" s="69">
        <v>6990</v>
      </c>
      <c r="C21" s="69">
        <v>10385</v>
      </c>
      <c r="D21" s="69">
        <v>6750</v>
      </c>
      <c r="E21" s="69">
        <v>5000</v>
      </c>
    </row>
    <row r="22" spans="1:10" ht="15.75" customHeight="1">
      <c r="A22" s="11" t="s">
        <v>224</v>
      </c>
      <c r="B22" s="69">
        <v>8013.2960000000003</v>
      </c>
      <c r="C22" s="69">
        <v>14340.165999999999</v>
      </c>
      <c r="D22" s="69">
        <v>16002.007</v>
      </c>
      <c r="E22" s="69">
        <v>20003.55</v>
      </c>
    </row>
    <row r="23" spans="1:10" ht="15.75" customHeight="1">
      <c r="A23" s="11" t="s">
        <v>27</v>
      </c>
      <c r="B23" s="69">
        <v>21236.560000000001</v>
      </c>
      <c r="C23" s="69">
        <v>20846.585999999999</v>
      </c>
      <c r="D23" s="69">
        <v>9675.9230000000007</v>
      </c>
      <c r="E23" s="69">
        <v>7930.8209999999999</v>
      </c>
    </row>
    <row r="24" spans="1:10" ht="15.75" customHeight="1">
      <c r="H24" s="17"/>
      <c r="I24" s="17"/>
      <c r="J24" s="17"/>
    </row>
    <row r="25" spans="1:10" ht="15.75" customHeight="1"/>
    <row r="26" spans="1:10" ht="15.75" customHeight="1">
      <c r="A26" s="17" t="s">
        <v>28</v>
      </c>
      <c r="B26" s="17" t="s">
        <v>29</v>
      </c>
      <c r="E26" s="17"/>
      <c r="F26" s="17"/>
      <c r="G26" s="17"/>
    </row>
    <row r="27" spans="1:10" ht="15.75" customHeight="1">
      <c r="A27" s="11" t="s">
        <v>265</v>
      </c>
      <c r="B27" s="18">
        <v>0.41599999999999998</v>
      </c>
    </row>
    <row r="28" spans="1:10" ht="15.75" customHeight="1">
      <c r="A28" s="11" t="s">
        <v>31</v>
      </c>
      <c r="B28" s="18">
        <v>0.32900000000000001</v>
      </c>
    </row>
    <row r="29" spans="1:10" ht="15.75" customHeight="1">
      <c r="A29" s="11" t="s">
        <v>266</v>
      </c>
      <c r="B29" s="18">
        <v>0.255</v>
      </c>
    </row>
    <row r="30" spans="1:10" ht="15.75" customHeight="1">
      <c r="B30" s="18"/>
    </row>
    <row r="31" spans="1:10" ht="15.75" customHeight="1">
      <c r="A31" s="53" t="s">
        <v>33</v>
      </c>
    </row>
    <row r="32" spans="1:10" ht="15.75" customHeight="1"/>
    <row r="33" spans="1:7" ht="15.75" customHeight="1">
      <c r="A33" s="12" t="s">
        <v>34</v>
      </c>
      <c r="B33" s="12" t="s">
        <v>35</v>
      </c>
      <c r="C33" s="12" t="s">
        <v>36</v>
      </c>
      <c r="D33" s="12" t="s">
        <v>341</v>
      </c>
      <c r="E33" s="12"/>
    </row>
    <row r="34" spans="1:7" ht="15.75" customHeight="1">
      <c r="A34" s="13" t="s">
        <v>267</v>
      </c>
      <c r="B34" s="14" t="s">
        <v>268</v>
      </c>
      <c r="C34" s="15" t="s">
        <v>70</v>
      </c>
      <c r="D34" s="15"/>
      <c r="E34" s="12"/>
    </row>
    <row r="35" spans="1:7" ht="15.75" customHeight="1"/>
    <row r="36" spans="1:7" ht="15.75" customHeight="1">
      <c r="A36" s="16"/>
      <c r="B36" s="17" t="s">
        <v>42</v>
      </c>
      <c r="C36" s="17" t="s">
        <v>43</v>
      </c>
      <c r="D36" s="17" t="s">
        <v>44</v>
      </c>
      <c r="E36" s="17" t="s">
        <v>45</v>
      </c>
      <c r="F36" s="17" t="s">
        <v>46</v>
      </c>
      <c r="G36" s="17" t="s">
        <v>47</v>
      </c>
    </row>
    <row r="37" spans="1:7" ht="15.75" customHeight="1">
      <c r="A37" s="11" t="s">
        <v>146</v>
      </c>
      <c r="B37" s="11">
        <v>67519.357999999993</v>
      </c>
      <c r="D37" s="11">
        <v>134789.04999999999</v>
      </c>
      <c r="F37" s="11">
        <v>168.88394400000001</v>
      </c>
    </row>
    <row r="38" spans="1:7" ht="15.75" customHeight="1">
      <c r="A38" s="11" t="s">
        <v>51</v>
      </c>
      <c r="B38" s="11">
        <v>11562.397999999999</v>
      </c>
      <c r="C38" s="18">
        <v>0.65</v>
      </c>
      <c r="D38" s="11">
        <v>22908.672999999999</v>
      </c>
      <c r="E38" s="18">
        <v>0.37</v>
      </c>
      <c r="F38" s="11">
        <v>17.988102000000001</v>
      </c>
      <c r="G38" s="18">
        <v>0.11</v>
      </c>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dimension ref="A1:J998"/>
  <sheetViews>
    <sheetView topLeftCell="A18" workbookViewId="0">
      <selection activeCell="D32" sqref="D32"/>
    </sheetView>
  </sheetViews>
  <sheetFormatPr baseColWidth="10" defaultColWidth="14.453125" defaultRowHeight="15" customHeight="1"/>
  <cols>
    <col min="1" max="1" width="44.54296875" customWidth="1"/>
    <col min="2" max="2" width="12.7265625" customWidth="1"/>
    <col min="3" max="5" width="8.7265625" customWidth="1"/>
  </cols>
  <sheetData>
    <row r="1" spans="1:5" ht="14.5">
      <c r="A1" s="53" t="s">
        <v>315</v>
      </c>
      <c r="B1" s="53" t="s">
        <v>317</v>
      </c>
    </row>
    <row r="2" spans="1:5" ht="72.5">
      <c r="A2" s="52" t="s">
        <v>269</v>
      </c>
      <c r="B2" s="67" t="s">
        <v>325</v>
      </c>
    </row>
    <row r="3" spans="1:5" ht="15.75" customHeight="1"/>
    <row r="4" spans="1:5" ht="15.75" customHeight="1">
      <c r="A4" s="54" t="s">
        <v>100</v>
      </c>
      <c r="B4" s="69">
        <v>25558005</v>
      </c>
      <c r="C4" s="69">
        <v>25558005</v>
      </c>
      <c r="D4" s="69">
        <v>25558005</v>
      </c>
      <c r="E4" s="69">
        <v>25558005</v>
      </c>
    </row>
    <row r="5" spans="1:5" ht="15.75" customHeight="1">
      <c r="B5" s="71"/>
      <c r="C5" s="71"/>
      <c r="D5" s="71"/>
      <c r="E5" s="71"/>
    </row>
    <row r="6" spans="1:5" ht="15.75" customHeight="1">
      <c r="A6" s="17" t="s">
        <v>6</v>
      </c>
      <c r="B6" s="70">
        <v>2021</v>
      </c>
      <c r="C6" s="70">
        <v>2022</v>
      </c>
      <c r="D6" s="70">
        <v>2023</v>
      </c>
      <c r="E6" s="70">
        <v>2024</v>
      </c>
    </row>
    <row r="7" spans="1:5" ht="15.75" customHeight="1">
      <c r="A7" s="11" t="s">
        <v>215</v>
      </c>
      <c r="B7" s="74">
        <v>89348.380250000002</v>
      </c>
      <c r="C7" s="74">
        <v>97602.87</v>
      </c>
      <c r="D7" s="74">
        <v>111386.7</v>
      </c>
      <c r="E7" s="85">
        <v>111776.4</v>
      </c>
    </row>
    <row r="8" spans="1:5" ht="15.75" customHeight="1">
      <c r="A8" s="11" t="s">
        <v>214</v>
      </c>
      <c r="B8" s="74">
        <v>72767.075511000003</v>
      </c>
      <c r="C8" s="74">
        <v>71580.787750000003</v>
      </c>
      <c r="D8" s="74">
        <v>73254.801208999997</v>
      </c>
      <c r="E8" s="74">
        <v>99086.053335000004</v>
      </c>
    </row>
    <row r="9" spans="1:5" ht="15.75" customHeight="1">
      <c r="A9" s="11" t="s">
        <v>13</v>
      </c>
      <c r="B9" s="74">
        <v>168289.44033000001</v>
      </c>
      <c r="C9" s="74">
        <v>183889.63031800001</v>
      </c>
      <c r="D9" s="74">
        <v>195801.292931</v>
      </c>
      <c r="E9" s="74">
        <v>222208.16454999999</v>
      </c>
    </row>
    <row r="10" spans="1:5" ht="15.75" customHeight="1">
      <c r="A10" s="11" t="s">
        <v>270</v>
      </c>
      <c r="B10" s="74">
        <v>103818.410514</v>
      </c>
      <c r="C10" s="74">
        <v>110142.471615</v>
      </c>
      <c r="D10" s="74">
        <v>105420.14253899999</v>
      </c>
      <c r="E10" s="74">
        <v>122370.18408399999</v>
      </c>
    </row>
    <row r="11" spans="1:5" ht="15.75" customHeight="1">
      <c r="A11" s="11" t="s">
        <v>216</v>
      </c>
      <c r="B11" s="74">
        <v>22857.875907000001</v>
      </c>
      <c r="C11" s="74">
        <v>31646.046844</v>
      </c>
      <c r="D11" s="74">
        <v>32424.987854999999</v>
      </c>
      <c r="E11" s="74">
        <v>32917.169802999997</v>
      </c>
    </row>
    <row r="12" spans="1:5" ht="15.75" customHeight="1">
      <c r="A12" s="11" t="s">
        <v>48</v>
      </c>
      <c r="B12" s="74">
        <v>208794.46064100001</v>
      </c>
      <c r="C12" s="74">
        <v>224421.22877099999</v>
      </c>
      <c r="D12" s="74">
        <v>206469.43193300001</v>
      </c>
      <c r="E12" s="74">
        <v>279437.72742499999</v>
      </c>
    </row>
    <row r="13" spans="1:5" ht="15.75" customHeight="1">
      <c r="A13" s="11" t="s">
        <v>217</v>
      </c>
      <c r="B13" s="74">
        <v>56711.241705</v>
      </c>
      <c r="C13" s="74">
        <v>58773.554214000003</v>
      </c>
      <c r="D13" s="74">
        <v>44639.899656000001</v>
      </c>
      <c r="E13" s="74">
        <v>69592.011224999995</v>
      </c>
    </row>
    <row r="14" spans="1:5" ht="15.75" customHeight="1">
      <c r="A14" s="11" t="s">
        <v>231</v>
      </c>
      <c r="B14" s="69"/>
      <c r="C14" s="69"/>
      <c r="D14" s="69"/>
      <c r="E14" s="71"/>
    </row>
    <row r="15" spans="1:5" ht="15.75" customHeight="1">
      <c r="A15" s="11" t="s">
        <v>232</v>
      </c>
      <c r="B15" s="74">
        <v>27558.059337999999</v>
      </c>
      <c r="C15" s="74">
        <v>26283.237142999998</v>
      </c>
      <c r="D15" s="74">
        <v>7351.1098179999999</v>
      </c>
      <c r="E15" s="74">
        <v>29445.590531999998</v>
      </c>
    </row>
    <row r="16" spans="1:5" ht="15.75" customHeight="1">
      <c r="A16" s="11" t="s">
        <v>271</v>
      </c>
      <c r="B16" s="74">
        <v>35398.321873000001</v>
      </c>
      <c r="C16" s="74">
        <v>34791.347904000002</v>
      </c>
      <c r="D16" s="74">
        <v>17109.549036</v>
      </c>
      <c r="E16" s="74">
        <v>40098.245829</v>
      </c>
    </row>
    <row r="17" spans="1:10" ht="15.75" customHeight="1">
      <c r="A17" s="11" t="s">
        <v>250</v>
      </c>
      <c r="B17" s="74">
        <v>20750.470464000002</v>
      </c>
      <c r="C17" s="74">
        <v>16700.611131000001</v>
      </c>
      <c r="D17" s="74">
        <v>3635.138559</v>
      </c>
      <c r="E17" s="74">
        <v>18790.217905000001</v>
      </c>
    </row>
    <row r="18" spans="1:10" ht="15.75" customHeight="1">
      <c r="A18" s="11" t="s">
        <v>22</v>
      </c>
      <c r="B18" s="74">
        <f>B21/(B17*1000000/B4)</f>
        <v>8.6094652774230216</v>
      </c>
      <c r="C18" s="74">
        <f>C21/(C17*1000000/C4)</f>
        <v>15.892824510614609</v>
      </c>
      <c r="D18" s="74">
        <f>D21/(D17*1000000/D4)</f>
        <v>47.458035216533268</v>
      </c>
      <c r="E18" s="74">
        <f>E21/(E17*1000000/E4)</f>
        <v>6.8008804179964084</v>
      </c>
    </row>
    <row r="19" spans="1:10" ht="15.75" customHeight="1">
      <c r="A19" s="11" t="s">
        <v>23</v>
      </c>
      <c r="B19" s="74">
        <f>(B23*1000000*0.9)/B4</f>
        <v>365.4</v>
      </c>
      <c r="C19" s="74">
        <f>(C23*1000000*0.9)/C4</f>
        <v>294.3</v>
      </c>
      <c r="D19" s="74">
        <f>(D23*1000000*0.9)/D4</f>
        <v>64.8</v>
      </c>
      <c r="E19" s="74">
        <f>(E23*1000000*0.88)/E4</f>
        <v>323.83999999999997</v>
      </c>
    </row>
    <row r="20" spans="1:10" ht="15.75" customHeight="1">
      <c r="A20" s="11" t="s">
        <v>24</v>
      </c>
      <c r="B20" s="74">
        <v>64471.029816000002</v>
      </c>
      <c r="C20" s="74">
        <v>73747.158702999994</v>
      </c>
      <c r="D20" s="74">
        <v>90381.150391999996</v>
      </c>
      <c r="E20" s="74">
        <v>99837.980465999994</v>
      </c>
    </row>
    <row r="21" spans="1:10" ht="15.75" customHeight="1">
      <c r="A21" s="11" t="s">
        <v>272</v>
      </c>
      <c r="B21" s="69">
        <v>6990</v>
      </c>
      <c r="C21" s="69">
        <v>10385</v>
      </c>
      <c r="D21" s="69">
        <v>6750</v>
      </c>
      <c r="E21" s="69">
        <v>5000</v>
      </c>
    </row>
    <row r="22" spans="1:10" ht="15.75" customHeight="1">
      <c r="A22" s="11" t="s">
        <v>26</v>
      </c>
      <c r="B22" s="74">
        <v>14629.480344</v>
      </c>
      <c r="C22" s="74">
        <v>22485.934848000001</v>
      </c>
      <c r="D22" s="74">
        <v>15138.092977</v>
      </c>
      <c r="E22" s="74">
        <v>11365.802315000001</v>
      </c>
    </row>
    <row r="23" spans="1:10" ht="15.75" customHeight="1">
      <c r="A23" s="11" t="s">
        <v>27</v>
      </c>
      <c r="B23" s="74">
        <v>10376.55003</v>
      </c>
      <c r="C23" s="74">
        <v>8357.4676350000009</v>
      </c>
      <c r="D23" s="74">
        <v>1840.1763599999999</v>
      </c>
      <c r="E23" s="74">
        <v>9405.34584</v>
      </c>
    </row>
    <row r="24" spans="1:10" ht="15.75" customHeight="1">
      <c r="H24" s="17"/>
      <c r="I24" s="17"/>
      <c r="J24" s="17"/>
    </row>
    <row r="25" spans="1:10" ht="15.75" customHeight="1">
      <c r="A25" s="17" t="s">
        <v>28</v>
      </c>
      <c r="B25" s="17" t="s">
        <v>29</v>
      </c>
    </row>
    <row r="26" spans="1:10" ht="15.75" customHeight="1">
      <c r="A26" s="11" t="s">
        <v>273</v>
      </c>
      <c r="B26" s="18">
        <v>0.68500000000000005</v>
      </c>
      <c r="F26" s="17"/>
      <c r="G26" s="17"/>
    </row>
    <row r="27" spans="1:10" ht="15.75" customHeight="1">
      <c r="A27" s="11" t="s">
        <v>31</v>
      </c>
      <c r="B27" s="18">
        <v>0.2354</v>
      </c>
    </row>
    <row r="28" spans="1:10" ht="15.75" customHeight="1">
      <c r="A28" s="11" t="s">
        <v>274</v>
      </c>
      <c r="B28" s="18">
        <v>9.8900000000000002E-2</v>
      </c>
    </row>
    <row r="29" spans="1:10" ht="15.75" customHeight="1">
      <c r="B29" s="18"/>
    </row>
    <row r="30" spans="1:10" ht="15.75" customHeight="1">
      <c r="A30" s="53" t="s">
        <v>33</v>
      </c>
    </row>
    <row r="31" spans="1:10" ht="15.75" customHeight="1"/>
    <row r="32" spans="1:10" ht="15.75" customHeight="1">
      <c r="A32" s="12" t="s">
        <v>34</v>
      </c>
      <c r="B32" s="12" t="s">
        <v>35</v>
      </c>
      <c r="C32" s="12" t="s">
        <v>36</v>
      </c>
      <c r="D32" s="12" t="s">
        <v>341</v>
      </c>
      <c r="E32" s="12"/>
    </row>
    <row r="33" spans="1:7" ht="15.75" customHeight="1">
      <c r="A33" s="13" t="s">
        <v>267</v>
      </c>
      <c r="B33" s="32" t="s">
        <v>275</v>
      </c>
      <c r="C33" s="15" t="s">
        <v>70</v>
      </c>
      <c r="D33" s="15"/>
      <c r="E33" s="12"/>
    </row>
    <row r="34" spans="1:7" ht="15.75" customHeight="1"/>
    <row r="35" spans="1:7" ht="15.75" customHeight="1">
      <c r="A35" s="16"/>
      <c r="B35" s="17" t="s">
        <v>42</v>
      </c>
      <c r="C35" s="17" t="s">
        <v>43</v>
      </c>
      <c r="D35" s="17" t="s">
        <v>44</v>
      </c>
      <c r="E35" s="17" t="s">
        <v>45</v>
      </c>
      <c r="F35" s="17" t="s">
        <v>46</v>
      </c>
      <c r="G35" s="17" t="s">
        <v>47</v>
      </c>
    </row>
    <row r="36" spans="1:7" ht="15.75" customHeight="1">
      <c r="A36" s="11" t="s">
        <v>146</v>
      </c>
      <c r="B36" s="11">
        <v>94319000</v>
      </c>
      <c r="D36" s="11">
        <v>171364</v>
      </c>
      <c r="F36" s="11">
        <v>253723000</v>
      </c>
    </row>
    <row r="37" spans="1:7" ht="15.75" customHeight="1">
      <c r="A37" s="11" t="s">
        <v>51</v>
      </c>
      <c r="B37" s="11">
        <v>11804000</v>
      </c>
      <c r="C37" s="18">
        <v>9.49</v>
      </c>
      <c r="D37" s="11">
        <v>18125</v>
      </c>
      <c r="E37" s="18">
        <v>4.49</v>
      </c>
      <c r="F37" s="11">
        <v>23154000</v>
      </c>
      <c r="G37" s="18">
        <v>1.31</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1:G998"/>
  <sheetViews>
    <sheetView topLeftCell="A22" workbookViewId="0">
      <selection activeCell="D31" sqref="D31"/>
    </sheetView>
  </sheetViews>
  <sheetFormatPr baseColWidth="10" defaultColWidth="14.453125" defaultRowHeight="15" customHeight="1"/>
  <cols>
    <col min="1" max="1" width="44.54296875" customWidth="1"/>
    <col min="2" max="2" width="12.7265625" customWidth="1"/>
    <col min="3" max="5" width="8.7265625" customWidth="1"/>
  </cols>
  <sheetData>
    <row r="1" spans="1:5" ht="14.5">
      <c r="A1" s="53" t="s">
        <v>315</v>
      </c>
      <c r="B1" s="53" t="s">
        <v>317</v>
      </c>
    </row>
    <row r="2" spans="1:5" ht="116">
      <c r="A2" s="52" t="s">
        <v>276</v>
      </c>
      <c r="B2" s="67" t="s">
        <v>324</v>
      </c>
    </row>
    <row r="3" spans="1:5" ht="15.75" customHeight="1"/>
    <row r="4" spans="1:5" ht="15.75" customHeight="1">
      <c r="A4" s="54" t="s">
        <v>100</v>
      </c>
      <c r="B4" s="69">
        <v>13440000</v>
      </c>
      <c r="C4" s="69">
        <v>13440000</v>
      </c>
      <c r="D4" s="69">
        <v>13440000</v>
      </c>
      <c r="E4" s="69">
        <v>13440000</v>
      </c>
    </row>
    <row r="5" spans="1:5" ht="15.75" customHeight="1">
      <c r="B5" s="71"/>
      <c r="C5" s="71"/>
      <c r="D5" s="71"/>
      <c r="E5" s="71"/>
    </row>
    <row r="6" spans="1:5" ht="15.75" customHeight="1">
      <c r="A6" s="17" t="s">
        <v>6</v>
      </c>
      <c r="B6" s="70">
        <v>2021</v>
      </c>
      <c r="C6" s="70">
        <v>2022</v>
      </c>
      <c r="D6" s="70">
        <v>2023</v>
      </c>
      <c r="E6" s="70">
        <v>2024</v>
      </c>
    </row>
    <row r="7" spans="1:5" ht="15.75" customHeight="1">
      <c r="A7" s="51" t="s">
        <v>215</v>
      </c>
      <c r="B7" s="69"/>
      <c r="C7" s="69"/>
      <c r="D7" s="69"/>
      <c r="E7" s="71"/>
    </row>
    <row r="8" spans="1:5" ht="15.75" customHeight="1">
      <c r="A8" s="11" t="s">
        <v>214</v>
      </c>
      <c r="B8" s="69">
        <v>7291.3959999999997</v>
      </c>
      <c r="C8" s="69">
        <v>8150.6980000000003</v>
      </c>
      <c r="D8" s="69">
        <v>6577.4690000000001</v>
      </c>
      <c r="E8" s="69">
        <v>3307.1309999999999</v>
      </c>
    </row>
    <row r="9" spans="1:5" ht="15.75" customHeight="1">
      <c r="A9" s="11" t="s">
        <v>230</v>
      </c>
      <c r="B9" s="69">
        <v>16260.295</v>
      </c>
      <c r="C9" s="69">
        <v>15068.263000000001</v>
      </c>
      <c r="D9" s="69">
        <v>11329.611000000001</v>
      </c>
      <c r="E9" s="69">
        <v>7378.3860000000004</v>
      </c>
    </row>
    <row r="10" spans="1:5" ht="15.75" customHeight="1">
      <c r="A10" s="11" t="s">
        <v>14</v>
      </c>
      <c r="B10" s="69">
        <v>2977.605</v>
      </c>
      <c r="C10" s="69">
        <v>1919.221</v>
      </c>
      <c r="D10" s="69">
        <v>801.50199999999995</v>
      </c>
      <c r="E10" s="69">
        <v>453.30599999999998</v>
      </c>
    </row>
    <row r="11" spans="1:5" ht="15.75" customHeight="1">
      <c r="A11" s="11" t="s">
        <v>216</v>
      </c>
      <c r="B11" s="69">
        <v>12769.57</v>
      </c>
      <c r="C11" s="69">
        <v>12729.02</v>
      </c>
      <c r="D11" s="69">
        <v>9153.4519999999993</v>
      </c>
      <c r="E11" s="69">
        <v>6472.8940000000002</v>
      </c>
    </row>
    <row r="12" spans="1:5" ht="15.75" customHeight="1">
      <c r="A12" s="11" t="s">
        <v>48</v>
      </c>
      <c r="B12" s="69">
        <v>10274.321</v>
      </c>
      <c r="C12" s="69">
        <v>14654.197</v>
      </c>
      <c r="D12" s="69">
        <v>9264.509</v>
      </c>
      <c r="E12" s="69">
        <v>1793.36</v>
      </c>
    </row>
    <row r="13" spans="1:5" ht="15.75" customHeight="1">
      <c r="A13" s="11" t="s">
        <v>217</v>
      </c>
      <c r="B13" s="69">
        <v>3801.319</v>
      </c>
      <c r="C13" s="69">
        <v>2806.0189999999998</v>
      </c>
      <c r="D13" s="69">
        <v>2285.33</v>
      </c>
      <c r="E13" s="69">
        <v>-453.911</v>
      </c>
    </row>
    <row r="14" spans="1:5" ht="15.75" customHeight="1">
      <c r="A14" s="11" t="s">
        <v>231</v>
      </c>
      <c r="B14" s="69">
        <v>1581.22</v>
      </c>
      <c r="C14" s="69">
        <v>37.182000000000002</v>
      </c>
      <c r="D14" s="69">
        <v>-1000.021</v>
      </c>
      <c r="E14" s="69">
        <v>-337.09</v>
      </c>
    </row>
    <row r="15" spans="1:5" ht="15.75" customHeight="1">
      <c r="A15" s="11" t="s">
        <v>232</v>
      </c>
      <c r="B15" s="69">
        <v>1286.674</v>
      </c>
      <c r="C15" s="69">
        <v>-106.831</v>
      </c>
      <c r="D15" s="69">
        <v>-1136.144</v>
      </c>
      <c r="E15" s="69">
        <v>-1007.8869999999999</v>
      </c>
    </row>
    <row r="16" spans="1:5" ht="15.75" customHeight="1">
      <c r="A16" s="11" t="s">
        <v>277</v>
      </c>
      <c r="B16" s="69">
        <v>1185.71</v>
      </c>
      <c r="C16" s="69">
        <v>-64.423000000000002</v>
      </c>
      <c r="D16" s="69">
        <v>-151.93799999999999</v>
      </c>
      <c r="E16" s="69">
        <v>-1775.8979999999999</v>
      </c>
    </row>
    <row r="17" spans="1:5" ht="15.75" customHeight="1">
      <c r="A17" s="11" t="s">
        <v>250</v>
      </c>
      <c r="B17" s="69">
        <v>1119.4480000000001</v>
      </c>
      <c r="C17" s="69">
        <v>-70.543999999999997</v>
      </c>
      <c r="D17" s="69">
        <v>-1117.7190000000001</v>
      </c>
      <c r="E17" s="69">
        <v>-348.19499999999999</v>
      </c>
    </row>
    <row r="18" spans="1:5" ht="15.75" customHeight="1">
      <c r="A18" s="11" t="s">
        <v>22</v>
      </c>
      <c r="B18" s="69">
        <f>B21/(B17*1000000/B4)</f>
        <v>8.7643195574961954</v>
      </c>
      <c r="C18" s="69"/>
      <c r="D18" s="69"/>
      <c r="E18" s="69"/>
    </row>
    <row r="19" spans="1:5" ht="15.75" customHeight="1">
      <c r="A19" s="11" t="s">
        <v>23</v>
      </c>
      <c r="B19" s="74">
        <f>(B23*1000000*0.9)/B4</f>
        <v>66.150000000000006</v>
      </c>
      <c r="C19" s="71"/>
      <c r="D19" s="71"/>
      <c r="E19" s="71"/>
    </row>
    <row r="20" spans="1:5" ht="15.75" customHeight="1">
      <c r="A20" s="11" t="s">
        <v>24</v>
      </c>
      <c r="B20" s="69">
        <v>512.96500000000003</v>
      </c>
      <c r="C20" s="69">
        <v>420.02300000000002</v>
      </c>
      <c r="D20" s="69">
        <v>1264.5909999999999</v>
      </c>
      <c r="E20" s="69">
        <v>412.25700000000001</v>
      </c>
    </row>
    <row r="21" spans="1:5" ht="15.75" customHeight="1">
      <c r="A21" s="11" t="s">
        <v>25</v>
      </c>
      <c r="B21" s="69">
        <v>730</v>
      </c>
      <c r="C21" s="69">
        <v>950</v>
      </c>
      <c r="D21" s="69">
        <v>900</v>
      </c>
      <c r="E21" s="69">
        <v>450</v>
      </c>
    </row>
    <row r="22" spans="1:5" ht="15.75" customHeight="1">
      <c r="A22" s="11" t="s">
        <v>224</v>
      </c>
      <c r="B22" s="71"/>
      <c r="C22" s="71"/>
      <c r="D22" s="71"/>
      <c r="E22" s="71"/>
    </row>
    <row r="23" spans="1:5" ht="15.75" customHeight="1">
      <c r="A23" s="11" t="s">
        <v>27</v>
      </c>
      <c r="B23" s="69">
        <v>987.84</v>
      </c>
      <c r="C23" s="71"/>
      <c r="D23" s="71"/>
      <c r="E23" s="71"/>
    </row>
    <row r="24" spans="1:5" ht="15.75" customHeight="1"/>
    <row r="25" spans="1:5" ht="15.75" customHeight="1">
      <c r="A25" s="17" t="s">
        <v>28</v>
      </c>
      <c r="B25" s="17" t="s">
        <v>29</v>
      </c>
    </row>
    <row r="26" spans="1:5" ht="15.75" customHeight="1">
      <c r="A26" s="11" t="s">
        <v>278</v>
      </c>
      <c r="B26" s="18">
        <v>0.79169999999999996</v>
      </c>
    </row>
    <row r="27" spans="1:5" ht="15.75" customHeight="1">
      <c r="A27" s="11" t="s">
        <v>31</v>
      </c>
      <c r="B27" s="18">
        <v>0.20830000000000001</v>
      </c>
    </row>
    <row r="28" spans="1:5" ht="15.75" customHeight="1">
      <c r="B28" s="18"/>
    </row>
    <row r="29" spans="1:5" ht="15.75" customHeight="1">
      <c r="A29" s="53" t="s">
        <v>33</v>
      </c>
      <c r="B29" s="18"/>
    </row>
    <row r="30" spans="1:5" ht="15.75" customHeight="1"/>
    <row r="31" spans="1:5" ht="15.75" customHeight="1">
      <c r="A31" s="12" t="s">
        <v>34</v>
      </c>
      <c r="B31" s="12" t="s">
        <v>35</v>
      </c>
      <c r="C31" s="12" t="s">
        <v>36</v>
      </c>
      <c r="D31" s="12" t="s">
        <v>341</v>
      </c>
      <c r="E31" s="12"/>
    </row>
    <row r="32" spans="1:5" ht="15.75" customHeight="1">
      <c r="A32" s="13" t="s">
        <v>279</v>
      </c>
      <c r="B32" s="14" t="s">
        <v>280</v>
      </c>
      <c r="C32" s="15"/>
      <c r="D32" s="15" t="s">
        <v>281</v>
      </c>
      <c r="E32" s="12"/>
    </row>
    <row r="33" spans="1:7" ht="15.75" customHeight="1"/>
    <row r="34" spans="1:7" ht="15.75" customHeight="1">
      <c r="A34" s="16"/>
      <c r="B34" s="17" t="s">
        <v>42</v>
      </c>
      <c r="C34" s="17" t="s">
        <v>43</v>
      </c>
      <c r="D34" s="17" t="s">
        <v>44</v>
      </c>
      <c r="E34" s="17" t="s">
        <v>45</v>
      </c>
      <c r="F34" s="17" t="s">
        <v>46</v>
      </c>
      <c r="G34" s="17" t="s">
        <v>47</v>
      </c>
    </row>
    <row r="35" spans="1:7" ht="15.75" customHeight="1">
      <c r="A35" s="11" t="s">
        <v>146</v>
      </c>
      <c r="B35" s="11" t="s">
        <v>65</v>
      </c>
      <c r="C35" s="11" t="s">
        <v>65</v>
      </c>
      <c r="D35" s="11">
        <v>2271.1250209999998</v>
      </c>
      <c r="F35" s="11">
        <v>3455.7015759999999</v>
      </c>
    </row>
    <row r="36" spans="1:7" ht="15.75" customHeight="1">
      <c r="A36" s="11" t="s">
        <v>51</v>
      </c>
      <c r="B36" s="11" t="s">
        <v>65</v>
      </c>
      <c r="C36" s="11" t="s">
        <v>65</v>
      </c>
      <c r="D36" s="11">
        <v>-556.76151200000004</v>
      </c>
      <c r="E36" s="18">
        <v>0.77</v>
      </c>
      <c r="F36" s="11">
        <v>-477.13403099999999</v>
      </c>
      <c r="G36" s="18">
        <v>-0.22</v>
      </c>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dimension ref="A1:J998"/>
  <sheetViews>
    <sheetView topLeftCell="A27" workbookViewId="0">
      <selection activeCell="D31" sqref="D31"/>
    </sheetView>
  </sheetViews>
  <sheetFormatPr baseColWidth="10" defaultColWidth="14.453125" defaultRowHeight="15" customHeight="1"/>
  <cols>
    <col min="1" max="1" width="44.54296875" customWidth="1"/>
    <col min="2" max="2" width="24.1796875" customWidth="1"/>
    <col min="3" max="5" width="8.7265625" customWidth="1"/>
  </cols>
  <sheetData>
    <row r="1" spans="1:10" ht="14.5">
      <c r="A1" s="53" t="s">
        <v>315</v>
      </c>
      <c r="B1" s="53" t="s">
        <v>317</v>
      </c>
    </row>
    <row r="2" spans="1:10" ht="145">
      <c r="A2" s="52" t="s">
        <v>282</v>
      </c>
      <c r="B2" s="49" t="s">
        <v>323</v>
      </c>
    </row>
    <row r="3" spans="1:10" ht="15.75" customHeight="1"/>
    <row r="4" spans="1:10" ht="15.75" customHeight="1">
      <c r="A4" s="54" t="s">
        <v>100</v>
      </c>
      <c r="B4" s="69">
        <v>5920000</v>
      </c>
      <c r="C4" s="69">
        <v>5920000</v>
      </c>
      <c r="D4" s="69">
        <v>5920000</v>
      </c>
      <c r="E4" s="69">
        <v>5920000</v>
      </c>
    </row>
    <row r="5" spans="1:10" ht="15.75" customHeight="1">
      <c r="B5" s="71"/>
      <c r="C5" s="71"/>
      <c r="D5" s="71"/>
      <c r="E5" s="71"/>
      <c r="H5" s="25"/>
      <c r="I5" s="25"/>
      <c r="J5" s="25"/>
    </row>
    <row r="6" spans="1:10" ht="15.75" customHeight="1">
      <c r="A6" s="17" t="s">
        <v>6</v>
      </c>
      <c r="B6" s="70">
        <v>2021</v>
      </c>
      <c r="C6" s="70">
        <v>2022</v>
      </c>
      <c r="D6" s="70">
        <v>2023</v>
      </c>
      <c r="E6" s="70">
        <v>2024</v>
      </c>
      <c r="H6" s="25"/>
      <c r="I6" s="25"/>
      <c r="J6" s="25"/>
    </row>
    <row r="7" spans="1:10" ht="15.75" customHeight="1">
      <c r="A7" s="51" t="s">
        <v>215</v>
      </c>
      <c r="B7" s="74">
        <v>4466.1842660000002</v>
      </c>
      <c r="C7" s="74">
        <v>4514.5910000000003</v>
      </c>
      <c r="D7" s="74">
        <v>4585.4160000000002</v>
      </c>
      <c r="E7" s="85">
        <v>4744.2510000000002</v>
      </c>
      <c r="G7" s="25"/>
      <c r="H7" s="25"/>
      <c r="I7" s="25"/>
      <c r="J7" s="25"/>
    </row>
    <row r="8" spans="1:10" ht="15.75" customHeight="1">
      <c r="A8" s="11" t="s">
        <v>214</v>
      </c>
      <c r="B8" s="74"/>
      <c r="C8" s="74"/>
      <c r="D8" s="74"/>
      <c r="E8" s="74"/>
      <c r="G8" s="25"/>
      <c r="H8" s="25"/>
      <c r="I8" s="25"/>
      <c r="J8" s="25"/>
    </row>
    <row r="9" spans="1:10" ht="15.75" customHeight="1">
      <c r="A9" s="11" t="s">
        <v>13</v>
      </c>
      <c r="B9" s="74">
        <v>16575.486566</v>
      </c>
      <c r="C9" s="74">
        <v>17483.499631999999</v>
      </c>
      <c r="D9" s="74">
        <v>19349.647741000001</v>
      </c>
      <c r="E9" s="74">
        <v>19656.293616999999</v>
      </c>
      <c r="G9" s="25"/>
      <c r="H9" s="25"/>
      <c r="I9" s="25"/>
      <c r="J9" s="25"/>
    </row>
    <row r="10" spans="1:10" ht="15.75" customHeight="1">
      <c r="A10" s="11" t="s">
        <v>14</v>
      </c>
      <c r="B10" s="69">
        <v>5902</v>
      </c>
      <c r="C10" s="69">
        <v>6362</v>
      </c>
      <c r="D10" s="69">
        <v>7338</v>
      </c>
      <c r="E10" s="69">
        <v>1224</v>
      </c>
      <c r="G10" s="25"/>
      <c r="H10" s="25"/>
      <c r="I10" s="25"/>
      <c r="J10" s="25"/>
    </row>
    <row r="11" spans="1:10" ht="15.75" customHeight="1">
      <c r="A11" s="11" t="s">
        <v>216</v>
      </c>
      <c r="B11" s="74"/>
      <c r="C11" s="74"/>
      <c r="D11" s="74"/>
      <c r="E11" s="74"/>
      <c r="G11" s="25"/>
      <c r="H11" s="25"/>
      <c r="I11" s="25"/>
      <c r="J11" s="25"/>
    </row>
    <row r="12" spans="1:10" ht="15.75" customHeight="1">
      <c r="A12" s="11" t="s">
        <v>16</v>
      </c>
      <c r="B12" s="74">
        <v>19036.863791</v>
      </c>
      <c r="C12" s="74">
        <v>16481.281370000001</v>
      </c>
      <c r="D12" s="74">
        <v>17752.564089</v>
      </c>
      <c r="E12" s="74">
        <v>19125.318523999998</v>
      </c>
      <c r="G12" s="25"/>
      <c r="H12" s="25"/>
      <c r="I12" s="25"/>
      <c r="J12" s="25"/>
    </row>
    <row r="13" spans="1:10" ht="15.75" customHeight="1">
      <c r="A13" s="11" t="s">
        <v>17</v>
      </c>
      <c r="B13" s="74">
        <v>2767.3155149999998</v>
      </c>
      <c r="C13" s="74">
        <v>3347.0867499999999</v>
      </c>
      <c r="D13" s="74">
        <v>2944.5664649999999</v>
      </c>
      <c r="E13" s="74">
        <v>3202.9536509999998</v>
      </c>
      <c r="G13" s="25"/>
      <c r="H13" s="25"/>
      <c r="I13" s="25"/>
      <c r="J13" s="25"/>
    </row>
    <row r="14" spans="1:10" ht="15.75" customHeight="1">
      <c r="A14" s="11" t="s">
        <v>18</v>
      </c>
      <c r="B14" s="74"/>
      <c r="C14" s="74"/>
      <c r="D14" s="74"/>
      <c r="E14" s="74"/>
      <c r="G14" s="25"/>
      <c r="H14" s="25"/>
      <c r="I14" s="25"/>
      <c r="J14" s="25"/>
    </row>
    <row r="15" spans="1:10" ht="15.75" customHeight="1">
      <c r="A15" s="11" t="s">
        <v>248</v>
      </c>
      <c r="B15" s="74">
        <v>628.12953400000004</v>
      </c>
      <c r="C15" s="74">
        <v>1631.2795639999999</v>
      </c>
      <c r="D15" s="74">
        <v>1748.6754410000001</v>
      </c>
      <c r="E15" s="74">
        <v>1784.8698179999999</v>
      </c>
      <c r="G15" s="25"/>
      <c r="H15" s="25"/>
      <c r="I15" s="25"/>
      <c r="J15" s="25"/>
    </row>
    <row r="16" spans="1:10" ht="15.75" customHeight="1">
      <c r="A16" s="11" t="s">
        <v>283</v>
      </c>
      <c r="B16" s="74">
        <v>1751.375661</v>
      </c>
      <c r="C16" s="74">
        <v>2254.4819640000001</v>
      </c>
      <c r="D16" s="74">
        <v>1818.1826410000001</v>
      </c>
      <c r="E16" s="74">
        <v>1965.0878540000001</v>
      </c>
      <c r="G16" s="25"/>
      <c r="H16" s="25"/>
      <c r="I16" s="25"/>
      <c r="J16" s="25"/>
    </row>
    <row r="17" spans="1:10" ht="15.75" customHeight="1">
      <c r="A17" s="11" t="s">
        <v>51</v>
      </c>
      <c r="B17" s="74">
        <v>40.094692999999999</v>
      </c>
      <c r="C17" s="74">
        <v>1075.1817679999999</v>
      </c>
      <c r="D17" s="74">
        <v>1429.806646</v>
      </c>
      <c r="E17" s="74">
        <v>1224.82754</v>
      </c>
      <c r="G17" s="25"/>
      <c r="H17" s="25"/>
      <c r="I17" s="25"/>
      <c r="J17" s="25"/>
    </row>
    <row r="18" spans="1:10" ht="15.75" customHeight="1">
      <c r="A18" s="11" t="s">
        <v>22</v>
      </c>
      <c r="B18" s="74">
        <f>B21/((B17*1000000)/B4)</f>
        <v>149.86522031731232</v>
      </c>
      <c r="C18" s="74">
        <f>C21/(C17*1000000/C4)</f>
        <v>6.4420735229580277</v>
      </c>
      <c r="D18" s="74">
        <f>D21/((D17*1000000)/D4)</f>
        <v>4.5958661742015714</v>
      </c>
      <c r="E18" s="74">
        <f>E21/((E17*1000000)/E4)</f>
        <v>5.0266668562988057</v>
      </c>
      <c r="G18" s="25"/>
      <c r="H18" s="25"/>
      <c r="I18" s="25"/>
      <c r="J18" s="25"/>
    </row>
    <row r="19" spans="1:10" ht="15.75" customHeight="1">
      <c r="A19" s="11" t="s">
        <v>23</v>
      </c>
      <c r="B19" s="74">
        <f>(B23*1000000*0.9)/B4</f>
        <v>69.020270270270274</v>
      </c>
      <c r="C19" s="74">
        <f>(C23*1000000*0.9)/C4</f>
        <v>69.003</v>
      </c>
      <c r="D19" s="74">
        <f>(D23*1000000*0.9)/D4</f>
        <v>79.51013513513513</v>
      </c>
      <c r="E19" s="74">
        <f>(E23*1000000*0.88)/E4</f>
        <v>112.67567567567568</v>
      </c>
      <c r="G19" s="25"/>
      <c r="H19" s="25"/>
      <c r="I19" s="25"/>
      <c r="J19" s="25"/>
    </row>
    <row r="20" spans="1:10" ht="15.75" customHeight="1">
      <c r="A20" s="11" t="s">
        <v>24</v>
      </c>
      <c r="B20" s="74">
        <v>3438.4459550000001</v>
      </c>
      <c r="C20" s="74">
        <v>3892.791279</v>
      </c>
      <c r="D20" s="74">
        <v>3789.9525629999998</v>
      </c>
      <c r="E20" s="74">
        <v>3786.9303060000002</v>
      </c>
      <c r="G20" s="25"/>
      <c r="H20" s="25"/>
      <c r="I20" s="25"/>
      <c r="J20" s="25"/>
    </row>
    <row r="21" spans="1:10" ht="15.75" customHeight="1">
      <c r="A21" s="11" t="s">
        <v>25</v>
      </c>
      <c r="B21" s="69">
        <v>1015</v>
      </c>
      <c r="C21" s="69">
        <v>1170</v>
      </c>
      <c r="D21" s="69">
        <v>1110</v>
      </c>
      <c r="E21" s="69">
        <v>1040</v>
      </c>
      <c r="G21" s="25"/>
      <c r="H21" s="25"/>
      <c r="I21" s="25"/>
      <c r="J21" s="25"/>
    </row>
    <row r="22" spans="1:10" ht="15.75" customHeight="1">
      <c r="A22" s="11" t="s">
        <v>26</v>
      </c>
      <c r="B22" s="74">
        <v>198.73718199999999</v>
      </c>
      <c r="C22" s="74">
        <v>96.694519999999997</v>
      </c>
      <c r="D22" s="74">
        <v>14.654245</v>
      </c>
      <c r="E22" s="74">
        <v>203.615703</v>
      </c>
      <c r="G22" s="25"/>
    </row>
    <row r="23" spans="1:10" ht="15.75" customHeight="1">
      <c r="A23" s="11" t="s">
        <v>27</v>
      </c>
      <c r="B23" s="69">
        <v>454</v>
      </c>
      <c r="C23" s="74">
        <v>453.88639999999998</v>
      </c>
      <c r="D23" s="69">
        <v>523</v>
      </c>
      <c r="E23" s="69">
        <v>758</v>
      </c>
      <c r="G23" s="25"/>
    </row>
    <row r="24" spans="1:10" ht="15.75" customHeight="1"/>
    <row r="25" spans="1:10" ht="15.75" customHeight="1">
      <c r="A25" s="17" t="s">
        <v>28</v>
      </c>
      <c r="B25" s="17" t="s">
        <v>29</v>
      </c>
    </row>
    <row r="26" spans="1:10" ht="15.75" customHeight="1">
      <c r="A26" s="11" t="s">
        <v>284</v>
      </c>
      <c r="B26" s="18">
        <v>0.51300000000000001</v>
      </c>
    </row>
    <row r="27" spans="1:10" ht="15.75" customHeight="1">
      <c r="A27" s="11" t="s">
        <v>31</v>
      </c>
      <c r="B27" s="18">
        <v>0.48699999999999999</v>
      </c>
    </row>
    <row r="28" spans="1:10" ht="15.75" customHeight="1">
      <c r="B28" s="18"/>
    </row>
    <row r="29" spans="1:10" ht="15.75" customHeight="1">
      <c r="A29" s="53" t="s">
        <v>33</v>
      </c>
      <c r="B29" s="18"/>
    </row>
    <row r="30" spans="1:10" ht="15.75" customHeight="1"/>
    <row r="31" spans="1:10" ht="15.75" customHeight="1">
      <c r="A31" s="12" t="s">
        <v>34</v>
      </c>
      <c r="B31" s="12" t="s">
        <v>35</v>
      </c>
      <c r="C31" s="12" t="s">
        <v>36</v>
      </c>
      <c r="D31" s="12" t="s">
        <v>341</v>
      </c>
      <c r="E31" s="12"/>
    </row>
    <row r="32" spans="1:10" ht="15.75" customHeight="1">
      <c r="A32" s="13" t="s">
        <v>285</v>
      </c>
      <c r="B32" s="14" t="s">
        <v>286</v>
      </c>
      <c r="C32" s="15" t="s">
        <v>187</v>
      </c>
      <c r="D32" s="15"/>
      <c r="E32" s="12"/>
    </row>
    <row r="33" spans="1:7" ht="15.75" customHeight="1"/>
    <row r="34" spans="1:7" ht="15.75" customHeight="1">
      <c r="A34" s="16"/>
      <c r="B34" s="17" t="s">
        <v>42</v>
      </c>
      <c r="C34" s="17" t="s">
        <v>43</v>
      </c>
      <c r="D34" s="17" t="s">
        <v>44</v>
      </c>
      <c r="E34" s="17" t="s">
        <v>45</v>
      </c>
      <c r="F34" s="17" t="s">
        <v>46</v>
      </c>
      <c r="G34" s="17" t="s">
        <v>47</v>
      </c>
    </row>
    <row r="35" spans="1:7" ht="15.75" customHeight="1">
      <c r="A35" s="11" t="s">
        <v>146</v>
      </c>
      <c r="B35" s="11">
        <v>5164.8</v>
      </c>
      <c r="D35" s="11">
        <v>10772.9</v>
      </c>
      <c r="F35" s="11">
        <v>16630</v>
      </c>
    </row>
    <row r="36" spans="1:7" ht="15.75" customHeight="1">
      <c r="A36" s="11" t="s">
        <v>51</v>
      </c>
      <c r="B36" s="11">
        <v>211</v>
      </c>
      <c r="C36" s="18">
        <v>-0.59099999999999997</v>
      </c>
      <c r="D36" s="11">
        <v>851.5</v>
      </c>
      <c r="E36" s="18">
        <v>0.55300000000000005</v>
      </c>
      <c r="F36" s="11">
        <v>1329.5</v>
      </c>
      <c r="G36" s="18">
        <v>0.26</v>
      </c>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tabColor rgb="FF00FF00"/>
  </sheetPr>
  <dimension ref="A1:I998"/>
  <sheetViews>
    <sheetView topLeftCell="A3" workbookViewId="0">
      <selection activeCell="F7" sqref="F7"/>
    </sheetView>
  </sheetViews>
  <sheetFormatPr baseColWidth="10" defaultColWidth="14.453125" defaultRowHeight="15" customHeight="1"/>
  <cols>
    <col min="1" max="1" width="44.54296875" customWidth="1"/>
    <col min="2" max="2" width="12.7265625" customWidth="1"/>
    <col min="3" max="3" width="11.7265625" customWidth="1"/>
    <col min="4" max="5" width="8.7265625" customWidth="1"/>
  </cols>
  <sheetData>
    <row r="1" spans="1:9" ht="14.5">
      <c r="A1" s="53" t="s">
        <v>315</v>
      </c>
      <c r="B1" s="53" t="s">
        <v>317</v>
      </c>
    </row>
    <row r="2" spans="1:9" ht="87">
      <c r="A2" s="52" t="s">
        <v>287</v>
      </c>
      <c r="B2" s="66" t="s">
        <v>321</v>
      </c>
    </row>
    <row r="3" spans="1:9" ht="15.75" customHeight="1"/>
    <row r="4" spans="1:9" ht="15.75" customHeight="1">
      <c r="A4" s="54" t="s">
        <v>100</v>
      </c>
      <c r="B4" s="69">
        <v>600000</v>
      </c>
      <c r="C4" s="69">
        <v>600000</v>
      </c>
      <c r="D4" s="69">
        <v>600000</v>
      </c>
      <c r="E4" s="69">
        <v>600000</v>
      </c>
    </row>
    <row r="5" spans="1:9" ht="15.75" customHeight="1">
      <c r="B5" s="71"/>
      <c r="C5" s="71"/>
      <c r="D5" s="71"/>
      <c r="E5" s="71"/>
    </row>
    <row r="6" spans="1:9" ht="15.75" customHeight="1">
      <c r="A6" s="17" t="s">
        <v>6</v>
      </c>
      <c r="B6" s="78">
        <v>2021</v>
      </c>
      <c r="C6" s="78">
        <v>2022</v>
      </c>
      <c r="D6" s="78">
        <v>2023</v>
      </c>
      <c r="E6" s="78">
        <v>2024</v>
      </c>
      <c r="F6" s="17"/>
      <c r="G6" s="25"/>
    </row>
    <row r="7" spans="1:9" ht="15.75" customHeight="1">
      <c r="A7" s="11" t="s">
        <v>215</v>
      </c>
      <c r="B7" s="79">
        <v>3481.614047</v>
      </c>
      <c r="C7" s="79"/>
      <c r="D7" s="79"/>
      <c r="E7" s="79"/>
      <c r="G7" s="25"/>
    </row>
    <row r="8" spans="1:9" ht="15.75" customHeight="1">
      <c r="A8" s="11" t="s">
        <v>214</v>
      </c>
      <c r="B8" s="79">
        <v>2344.800886</v>
      </c>
      <c r="C8" s="79"/>
      <c r="D8" s="79"/>
      <c r="E8" s="79"/>
      <c r="G8" s="25"/>
    </row>
    <row r="9" spans="1:9" ht="15.75" customHeight="1">
      <c r="A9" s="11" t="s">
        <v>13</v>
      </c>
      <c r="B9" s="79">
        <v>4154.2765929999996</v>
      </c>
      <c r="C9" s="79"/>
      <c r="D9" s="79"/>
      <c r="E9" s="79"/>
      <c r="G9" s="25"/>
      <c r="H9" s="25"/>
      <c r="I9" s="25"/>
    </row>
    <row r="10" spans="1:9" ht="15.75" customHeight="1">
      <c r="A10" s="11" t="s">
        <v>14</v>
      </c>
      <c r="B10" s="79">
        <v>3124.6691980000001</v>
      </c>
      <c r="C10" s="79"/>
      <c r="D10" s="79"/>
      <c r="E10" s="79"/>
      <c r="G10" s="25"/>
      <c r="H10" s="25"/>
      <c r="I10" s="25"/>
    </row>
    <row r="11" spans="1:9" ht="15.75" customHeight="1">
      <c r="A11" s="11" t="s">
        <v>216</v>
      </c>
      <c r="B11" s="79">
        <v>1005.7458370000001</v>
      </c>
      <c r="C11" s="79">
        <v>1084.9162289999999</v>
      </c>
      <c r="D11" s="79">
        <v>1089.9733189999999</v>
      </c>
      <c r="E11" s="79"/>
      <c r="G11" s="25"/>
    </row>
    <row r="12" spans="1:9" ht="15.75" customHeight="1">
      <c r="A12" s="11" t="s">
        <v>16</v>
      </c>
      <c r="B12" s="79">
        <v>1380.9861080000001</v>
      </c>
      <c r="C12" s="79">
        <v>1138.173867</v>
      </c>
      <c r="D12" s="79">
        <v>701.09158100000002</v>
      </c>
      <c r="E12" s="79"/>
      <c r="G12" s="25"/>
    </row>
    <row r="13" spans="1:9" ht="15.75" customHeight="1">
      <c r="A13" s="11" t="s">
        <v>17</v>
      </c>
      <c r="B13" s="79">
        <v>412.93809800000002</v>
      </c>
      <c r="C13" s="79"/>
      <c r="D13" s="79"/>
      <c r="E13" s="79"/>
      <c r="G13" s="25"/>
    </row>
    <row r="14" spans="1:9" ht="15.75" customHeight="1">
      <c r="A14" s="11" t="s">
        <v>18</v>
      </c>
      <c r="B14" s="79">
        <v>119.23479500000001</v>
      </c>
      <c r="C14" s="79"/>
      <c r="D14" s="79"/>
      <c r="E14" s="79"/>
      <c r="G14" s="25"/>
    </row>
    <row r="15" spans="1:9" ht="15.75" customHeight="1">
      <c r="A15" s="11" t="s">
        <v>248</v>
      </c>
      <c r="B15" s="79">
        <v>53.198529999999998</v>
      </c>
      <c r="C15" s="79"/>
      <c r="D15" s="79"/>
      <c r="E15" s="79"/>
      <c r="G15" s="25"/>
    </row>
    <row r="16" spans="1:9" ht="15.75" customHeight="1">
      <c r="A16" s="11" t="s">
        <v>51</v>
      </c>
      <c r="B16" s="79">
        <v>119.23479500000001</v>
      </c>
      <c r="C16" s="79">
        <v>-39.949556000000001</v>
      </c>
      <c r="D16" s="79">
        <v>19.245083000000001</v>
      </c>
      <c r="E16" s="79"/>
    </row>
    <row r="17" spans="1:9" ht="15.75" customHeight="1">
      <c r="A17" s="11" t="s">
        <v>22</v>
      </c>
      <c r="B17" s="79">
        <v>3.1</v>
      </c>
      <c r="C17" s="79"/>
      <c r="D17" s="79"/>
      <c r="E17" s="79"/>
    </row>
    <row r="18" spans="1:9" ht="15.75" customHeight="1">
      <c r="A18" s="11" t="s">
        <v>23</v>
      </c>
      <c r="B18" s="79"/>
      <c r="C18" s="79"/>
      <c r="D18" s="79"/>
      <c r="E18" s="79"/>
    </row>
    <row r="19" spans="1:9" ht="15.75" customHeight="1">
      <c r="A19" s="11" t="s">
        <v>24</v>
      </c>
      <c r="B19" s="79">
        <v>1010.895125</v>
      </c>
      <c r="C19" s="79">
        <v>1084.9162289999999</v>
      </c>
      <c r="D19" s="79">
        <v>1089.9733189999999</v>
      </c>
      <c r="E19" s="79"/>
    </row>
    <row r="20" spans="1:9" ht="15.75" customHeight="1">
      <c r="A20" s="11" t="s">
        <v>25</v>
      </c>
      <c r="B20" s="69">
        <v>5120</v>
      </c>
      <c r="C20" s="69">
        <v>5405</v>
      </c>
      <c r="D20" s="69">
        <v>3025</v>
      </c>
      <c r="E20" s="69">
        <v>4000</v>
      </c>
    </row>
    <row r="21" spans="1:9" ht="15.75" customHeight="1">
      <c r="A21" s="11" t="s">
        <v>26</v>
      </c>
      <c r="B21" s="79"/>
      <c r="C21" s="79"/>
      <c r="D21" s="79"/>
      <c r="E21" s="79"/>
    </row>
    <row r="22" spans="1:9" ht="15.75" customHeight="1">
      <c r="A22" s="11" t="s">
        <v>27</v>
      </c>
      <c r="B22" s="79"/>
      <c r="C22" s="79"/>
      <c r="D22" s="79"/>
      <c r="E22" s="79"/>
      <c r="G22" s="17"/>
      <c r="H22" s="17"/>
      <c r="I22" s="17"/>
    </row>
    <row r="23" spans="1:9" ht="15.75" customHeight="1">
      <c r="E23" s="17"/>
      <c r="F23" s="17"/>
    </row>
    <row r="24" spans="1:9" ht="15.75" customHeight="1">
      <c r="A24" s="17" t="s">
        <v>28</v>
      </c>
      <c r="B24" s="17" t="s">
        <v>29</v>
      </c>
    </row>
    <row r="25" spans="1:9" ht="15.75" customHeight="1">
      <c r="A25" s="11" t="s">
        <v>288</v>
      </c>
      <c r="B25" s="18">
        <v>0.70440000000000003</v>
      </c>
    </row>
    <row r="26" spans="1:9" ht="15.75" customHeight="1">
      <c r="A26" s="11" t="s">
        <v>31</v>
      </c>
      <c r="B26" s="18">
        <v>0.12559999999999999</v>
      </c>
    </row>
    <row r="27" spans="1:9" ht="15.75" customHeight="1">
      <c r="A27" s="11" t="s">
        <v>289</v>
      </c>
      <c r="B27" s="18">
        <v>0.12180000000000001</v>
      </c>
    </row>
    <row r="28" spans="1:9" ht="15.75" customHeight="1">
      <c r="A28" s="11" t="s">
        <v>290</v>
      </c>
      <c r="B28" s="18">
        <v>4.82E-2</v>
      </c>
    </row>
    <row r="29" spans="1:9" ht="15.75" customHeight="1"/>
    <row r="30" spans="1:9" ht="15.75" customHeight="1">
      <c r="A30" s="53" t="s">
        <v>80</v>
      </c>
    </row>
    <row r="31" spans="1:9" ht="15.75" customHeight="1"/>
    <row r="32" spans="1:9" ht="15.75" customHeight="1">
      <c r="A32" s="12" t="s">
        <v>34</v>
      </c>
      <c r="B32" s="12" t="s">
        <v>35</v>
      </c>
      <c r="C32" s="12" t="s">
        <v>36</v>
      </c>
      <c r="D32" s="12" t="s">
        <v>37</v>
      </c>
      <c r="E32" s="12"/>
    </row>
    <row r="33" spans="1:5" ht="15.75" customHeight="1">
      <c r="A33" s="13" t="s">
        <v>38</v>
      </c>
      <c r="B33" s="14" t="s">
        <v>237</v>
      </c>
      <c r="C33" s="15"/>
      <c r="D33" s="15" t="s">
        <v>70</v>
      </c>
      <c r="E33" s="12"/>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dimension ref="A1:I998"/>
  <sheetViews>
    <sheetView topLeftCell="A19" workbookViewId="0">
      <selection activeCell="D31" sqref="D31"/>
    </sheetView>
  </sheetViews>
  <sheetFormatPr baseColWidth="10" defaultColWidth="14.453125" defaultRowHeight="15" customHeight="1"/>
  <cols>
    <col min="1" max="1" width="44.54296875" customWidth="1"/>
    <col min="2" max="2" width="12.7265625" customWidth="1"/>
    <col min="3" max="4" width="8.7265625" customWidth="1"/>
    <col min="5" max="5" width="10.54296875" customWidth="1"/>
  </cols>
  <sheetData>
    <row r="1" spans="1:6" ht="14.5">
      <c r="A1" s="53" t="s">
        <v>320</v>
      </c>
      <c r="B1" s="53" t="s">
        <v>317</v>
      </c>
    </row>
    <row r="2" spans="1:6" ht="116">
      <c r="A2" s="52" t="s">
        <v>291</v>
      </c>
      <c r="B2" s="67" t="s">
        <v>322</v>
      </c>
    </row>
    <row r="3" spans="1:6" ht="15.75" customHeight="1"/>
    <row r="4" spans="1:6" ht="15.75" customHeight="1">
      <c r="A4" s="54" t="s">
        <v>100</v>
      </c>
      <c r="B4" s="69">
        <v>21601840</v>
      </c>
      <c r="C4" s="69">
        <v>21601840</v>
      </c>
      <c r="D4" s="69">
        <v>21601840</v>
      </c>
      <c r="E4" s="69">
        <v>21601840</v>
      </c>
      <c r="F4" s="71"/>
    </row>
    <row r="5" spans="1:6" ht="15.75" customHeight="1">
      <c r="B5" s="71"/>
      <c r="C5" s="71"/>
      <c r="D5" s="71"/>
      <c r="E5" s="71"/>
      <c r="F5" s="71"/>
    </row>
    <row r="6" spans="1:6" ht="15.75" customHeight="1">
      <c r="A6" s="17" t="s">
        <v>6</v>
      </c>
      <c r="B6" s="70">
        <v>2021</v>
      </c>
      <c r="C6" s="70">
        <v>2022</v>
      </c>
      <c r="D6" s="70">
        <v>2023</v>
      </c>
      <c r="E6" s="70">
        <v>2024</v>
      </c>
      <c r="F6" s="71"/>
    </row>
    <row r="7" spans="1:6" ht="15.75" customHeight="1">
      <c r="A7" s="11" t="s">
        <v>215</v>
      </c>
      <c r="B7" s="74">
        <v>65052.777999999998</v>
      </c>
      <c r="C7" s="74">
        <v>63328.41</v>
      </c>
      <c r="D7" s="74">
        <v>62189.13</v>
      </c>
      <c r="E7" s="85">
        <v>61182.879000000001</v>
      </c>
      <c r="F7" s="71"/>
    </row>
    <row r="8" spans="1:6" ht="15.75" customHeight="1">
      <c r="A8" s="11" t="s">
        <v>214</v>
      </c>
      <c r="B8" s="74"/>
      <c r="C8" s="74"/>
      <c r="D8" s="74"/>
      <c r="E8" s="71"/>
      <c r="F8" s="71"/>
    </row>
    <row r="9" spans="1:6" ht="15.75" customHeight="1">
      <c r="A9" s="11" t="s">
        <v>13</v>
      </c>
      <c r="B9" s="74">
        <v>97008.61</v>
      </c>
      <c r="C9" s="74">
        <v>93857.925000000003</v>
      </c>
      <c r="D9" s="74">
        <v>88987.01</v>
      </c>
      <c r="E9" s="74">
        <v>88962.048999999999</v>
      </c>
      <c r="F9" s="71"/>
    </row>
    <row r="10" spans="1:6" ht="15.75" customHeight="1">
      <c r="A10" s="11" t="s">
        <v>14</v>
      </c>
      <c r="B10" s="69">
        <v>66231</v>
      </c>
      <c r="C10" s="69">
        <v>68879</v>
      </c>
      <c r="D10" s="69">
        <v>60756</v>
      </c>
      <c r="E10" s="69">
        <v>68899</v>
      </c>
      <c r="F10" s="71"/>
    </row>
    <row r="11" spans="1:6" ht="15.75" customHeight="1">
      <c r="A11" s="11" t="s">
        <v>216</v>
      </c>
      <c r="B11" s="74"/>
      <c r="C11" s="74"/>
      <c r="D11" s="74"/>
      <c r="E11" s="71"/>
      <c r="F11" s="71"/>
    </row>
    <row r="12" spans="1:6" ht="15.75" customHeight="1">
      <c r="A12" s="11" t="s">
        <v>16</v>
      </c>
      <c r="B12" s="74">
        <v>81625.048999999999</v>
      </c>
      <c r="C12" s="74">
        <v>92054.614000000001</v>
      </c>
      <c r="D12" s="74">
        <v>71813.263000000006</v>
      </c>
      <c r="E12" s="74">
        <v>87254.123999999996</v>
      </c>
      <c r="F12" s="71"/>
    </row>
    <row r="13" spans="1:6" ht="15.75" customHeight="1">
      <c r="A13" s="11" t="s">
        <v>17</v>
      </c>
      <c r="B13" s="74">
        <v>41651.233</v>
      </c>
      <c r="C13" s="74">
        <v>44705.828000000001</v>
      </c>
      <c r="D13" s="74">
        <v>32623.805</v>
      </c>
      <c r="E13" s="74">
        <v>42748.436999999998</v>
      </c>
      <c r="F13" s="71"/>
    </row>
    <row r="14" spans="1:6" ht="15.75" customHeight="1">
      <c r="A14" s="11" t="s">
        <v>18</v>
      </c>
      <c r="B14" s="74">
        <v>19931.401000000002</v>
      </c>
      <c r="C14" s="74">
        <v>21545.511999999999</v>
      </c>
      <c r="D14" s="74">
        <v>7380</v>
      </c>
      <c r="E14" s="74">
        <v>18040.223999999998</v>
      </c>
      <c r="F14" s="71"/>
    </row>
    <row r="15" spans="1:6" ht="15.75" customHeight="1">
      <c r="A15" s="11" t="s">
        <v>248</v>
      </c>
      <c r="B15" s="74">
        <v>20581.152999999998</v>
      </c>
      <c r="C15" s="74">
        <v>21852.241999999998</v>
      </c>
      <c r="D15" s="74">
        <v>7678.0129999999999</v>
      </c>
      <c r="E15" s="74">
        <v>18383.382000000001</v>
      </c>
      <c r="F15" s="71"/>
    </row>
    <row r="16" spans="1:6" ht="15.75" customHeight="1">
      <c r="A16" s="11" t="s">
        <v>283</v>
      </c>
      <c r="B16" s="74">
        <v>26632.133999999998</v>
      </c>
      <c r="C16" s="74">
        <v>28703.994999999999</v>
      </c>
      <c r="D16" s="74">
        <v>15389.862999999999</v>
      </c>
      <c r="E16" s="74">
        <v>24974.609</v>
      </c>
      <c r="F16" s="71"/>
    </row>
    <row r="17" spans="1:9" ht="15.75" customHeight="1">
      <c r="A17" s="11" t="s">
        <v>51</v>
      </c>
      <c r="B17" s="74">
        <v>14728.28</v>
      </c>
      <c r="C17" s="74">
        <v>15652.983</v>
      </c>
      <c r="D17" s="74">
        <v>5270.3029999999999</v>
      </c>
      <c r="E17" s="74">
        <v>13110.79</v>
      </c>
      <c r="F17" s="71"/>
    </row>
    <row r="18" spans="1:9" ht="15.75" customHeight="1">
      <c r="A18" s="11" t="s">
        <v>22</v>
      </c>
      <c r="B18" s="74">
        <f>B21/(B17*1000000/B4)</f>
        <v>7.333456452484608</v>
      </c>
      <c r="C18" s="74">
        <f>C21/(C17*1000000/C4)</f>
        <v>7.82486205983869</v>
      </c>
      <c r="D18" s="74">
        <f>D21/(D17*1000000/D4)</f>
        <v>13.403027643761657</v>
      </c>
      <c r="E18" s="74">
        <f>E21/(E17*1000000/E4)</f>
        <v>7.5956126518691862</v>
      </c>
      <c r="F18" s="71"/>
    </row>
    <row r="19" spans="1:9" ht="15.75" customHeight="1">
      <c r="A19" s="11" t="s">
        <v>292</v>
      </c>
      <c r="B19" s="74">
        <f>(B23*1000000*0.9)/B4</f>
        <v>541.80001333219764</v>
      </c>
      <c r="C19" s="74">
        <f>(C23*1000000*0.9)/C4</f>
        <v>554.3292793576843</v>
      </c>
      <c r="D19" s="74">
        <f>(D23*1000000*0.9)/D4</f>
        <v>206.99999166737649</v>
      </c>
      <c r="E19" s="74">
        <f>(E23*1000000*0.88)/E4</f>
        <v>528.17109653622094</v>
      </c>
      <c r="F19" s="71"/>
    </row>
    <row r="20" spans="1:9" ht="15.75" customHeight="1">
      <c r="A20" s="11" t="s">
        <v>24</v>
      </c>
      <c r="B20" s="69">
        <v>30778</v>
      </c>
      <c r="C20" s="69">
        <v>24978</v>
      </c>
      <c r="D20" s="69">
        <v>28231</v>
      </c>
      <c r="E20" s="69">
        <v>20063</v>
      </c>
      <c r="F20" s="71"/>
    </row>
    <row r="21" spans="1:9" ht="15.75" customHeight="1">
      <c r="A21" s="11" t="s">
        <v>25</v>
      </c>
      <c r="B21" s="69">
        <v>5000</v>
      </c>
      <c r="C21" s="69">
        <v>5670</v>
      </c>
      <c r="D21" s="69">
        <v>3270</v>
      </c>
      <c r="E21" s="69">
        <v>4610</v>
      </c>
      <c r="F21" s="71"/>
    </row>
    <row r="22" spans="1:9" ht="15.75" customHeight="1">
      <c r="A22" s="11" t="s">
        <v>26</v>
      </c>
      <c r="B22" s="71"/>
      <c r="C22" s="71"/>
      <c r="D22" s="71"/>
      <c r="E22" s="71"/>
      <c r="F22" s="71"/>
    </row>
    <row r="23" spans="1:9" ht="15.75" customHeight="1">
      <c r="A23" s="11" t="s">
        <v>27</v>
      </c>
      <c r="B23" s="74">
        <v>13004.308000000001</v>
      </c>
      <c r="C23" s="74">
        <v>13305.036</v>
      </c>
      <c r="D23" s="74">
        <v>4968.4229999999998</v>
      </c>
      <c r="E23" s="74">
        <v>12965.304</v>
      </c>
      <c r="F23" s="71"/>
    </row>
    <row r="24" spans="1:9" ht="15.75" customHeight="1"/>
    <row r="25" spans="1:9" ht="15.75" customHeight="1">
      <c r="A25" s="17" t="s">
        <v>28</v>
      </c>
      <c r="B25" s="17" t="s">
        <v>29</v>
      </c>
      <c r="H25" s="17"/>
      <c r="I25" s="17"/>
    </row>
    <row r="26" spans="1:9" ht="15.75" customHeight="1">
      <c r="A26" s="11" t="s">
        <v>293</v>
      </c>
      <c r="B26" s="18">
        <v>0.73160000000000003</v>
      </c>
    </row>
    <row r="27" spans="1:9" ht="15.75" customHeight="1">
      <c r="A27" s="11" t="s">
        <v>31</v>
      </c>
      <c r="B27" s="18">
        <v>0.26840000000000003</v>
      </c>
      <c r="E27" s="17"/>
      <c r="F27" s="17"/>
      <c r="G27" s="17"/>
    </row>
    <row r="28" spans="1:9" ht="15.75" customHeight="1">
      <c r="B28" s="18"/>
    </row>
    <row r="29" spans="1:9" ht="15.75" customHeight="1">
      <c r="A29" s="53" t="s">
        <v>80</v>
      </c>
      <c r="B29" s="18"/>
    </row>
    <row r="30" spans="1:9" ht="15.75" customHeight="1"/>
    <row r="31" spans="1:9" ht="15.75" customHeight="1">
      <c r="A31" s="12" t="s">
        <v>34</v>
      </c>
      <c r="B31" s="12" t="s">
        <v>35</v>
      </c>
      <c r="C31" s="12" t="s">
        <v>36</v>
      </c>
      <c r="D31" s="12" t="s">
        <v>341</v>
      </c>
      <c r="E31" s="12"/>
    </row>
    <row r="32" spans="1:9" ht="15.75" customHeight="1">
      <c r="A32" s="13" t="s">
        <v>294</v>
      </c>
      <c r="B32" s="14" t="s">
        <v>295</v>
      </c>
      <c r="C32" s="15"/>
      <c r="D32" s="15"/>
      <c r="E32" s="12"/>
    </row>
    <row r="33" spans="1:7" ht="15.75" customHeight="1"/>
    <row r="34" spans="1:7" ht="15.75" customHeight="1">
      <c r="A34" s="16"/>
      <c r="B34" s="17" t="s">
        <v>42</v>
      </c>
      <c r="C34" s="17" t="s">
        <v>43</v>
      </c>
      <c r="D34" s="17" t="s">
        <v>44</v>
      </c>
      <c r="E34" s="17" t="s">
        <v>45</v>
      </c>
      <c r="F34" s="17" t="s">
        <v>46</v>
      </c>
      <c r="G34" s="17" t="s">
        <v>47</v>
      </c>
    </row>
    <row r="35" spans="1:7" ht="15.75" customHeight="1">
      <c r="A35" s="11" t="s">
        <v>146</v>
      </c>
      <c r="B35" s="11">
        <v>55355.482614</v>
      </c>
      <c r="D35" s="11" t="s">
        <v>65</v>
      </c>
      <c r="E35" s="11" t="s">
        <v>65</v>
      </c>
      <c r="F35" s="11">
        <v>75574.880881999998</v>
      </c>
    </row>
    <row r="36" spans="1:7" ht="15.75" customHeight="1">
      <c r="A36" s="11" t="s">
        <v>51</v>
      </c>
      <c r="B36" s="11">
        <v>10248.930856000001</v>
      </c>
      <c r="C36" s="18">
        <v>1.516</v>
      </c>
      <c r="D36" s="11" t="s">
        <v>65</v>
      </c>
      <c r="E36" s="11" t="s">
        <v>65</v>
      </c>
      <c r="F36" s="11">
        <v>11528.415944</v>
      </c>
      <c r="G36" s="18">
        <v>0.39500000000000002</v>
      </c>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I998"/>
  <sheetViews>
    <sheetView topLeftCell="A22" workbookViewId="0">
      <selection activeCell="D32" sqref="D32"/>
    </sheetView>
  </sheetViews>
  <sheetFormatPr baseColWidth="10" defaultColWidth="14.453125" defaultRowHeight="15" customHeight="1"/>
  <cols>
    <col min="1" max="1" width="44.54296875" style="56" customWidth="1"/>
    <col min="2" max="2" width="12.7265625" style="56" customWidth="1"/>
    <col min="3" max="5" width="8.7265625" style="56" customWidth="1"/>
    <col min="6" max="16384" width="14.453125" style="56"/>
  </cols>
  <sheetData>
    <row r="1" spans="1:5" ht="14.5">
      <c r="A1" s="55" t="s">
        <v>315</v>
      </c>
      <c r="B1" s="55" t="s">
        <v>317</v>
      </c>
    </row>
    <row r="2" spans="1:5" ht="130.5">
      <c r="A2" s="65" t="s">
        <v>296</v>
      </c>
      <c r="B2" s="64" t="s">
        <v>319</v>
      </c>
    </row>
    <row r="3" spans="1:5" ht="15.75" customHeight="1"/>
    <row r="4" spans="1:5" ht="15.75" customHeight="1">
      <c r="A4" s="57" t="s">
        <v>100</v>
      </c>
      <c r="B4" s="80">
        <v>19600000</v>
      </c>
      <c r="C4" s="80">
        <v>19600000</v>
      </c>
      <c r="D4" s="80">
        <v>19600000</v>
      </c>
      <c r="E4" s="80">
        <v>19600000</v>
      </c>
    </row>
    <row r="5" spans="1:5" ht="15.75" customHeight="1">
      <c r="B5" s="80"/>
      <c r="C5" s="80"/>
      <c r="D5" s="80"/>
      <c r="E5" s="80"/>
    </row>
    <row r="6" spans="1:5" ht="15.75" customHeight="1">
      <c r="A6" s="58" t="s">
        <v>6</v>
      </c>
      <c r="B6" s="81">
        <v>2021</v>
      </c>
      <c r="C6" s="81">
        <v>2022</v>
      </c>
      <c r="D6" s="81">
        <v>2023</v>
      </c>
      <c r="E6" s="81">
        <v>2024</v>
      </c>
    </row>
    <row r="7" spans="1:5" ht="15.75" customHeight="1">
      <c r="A7" s="56" t="s">
        <v>215</v>
      </c>
      <c r="B7" s="82">
        <v>50933.246650000001</v>
      </c>
      <c r="C7" s="82">
        <v>65916.14</v>
      </c>
      <c r="D7" s="82">
        <v>65916.14</v>
      </c>
      <c r="E7" s="82">
        <v>69564.679999999993</v>
      </c>
    </row>
    <row r="8" spans="1:5" ht="15.75" customHeight="1">
      <c r="A8" s="56" t="s">
        <v>214</v>
      </c>
      <c r="B8" s="82">
        <v>39919.102864</v>
      </c>
      <c r="C8" s="82">
        <v>42276.878389999998</v>
      </c>
      <c r="D8" s="82">
        <v>35788.611960000002</v>
      </c>
      <c r="E8" s="82">
        <v>44179.049696000002</v>
      </c>
    </row>
    <row r="9" spans="1:5" ht="15.75" customHeight="1">
      <c r="A9" s="56" t="s">
        <v>13</v>
      </c>
      <c r="B9" s="82">
        <v>107246.529979</v>
      </c>
      <c r="C9" s="82">
        <v>124042.067779</v>
      </c>
      <c r="D9" s="82">
        <v>115465.46481400001</v>
      </c>
      <c r="E9" s="82">
        <v>123092.041899</v>
      </c>
    </row>
    <row r="10" spans="1:5" ht="15.75" customHeight="1">
      <c r="A10" s="56" t="s">
        <v>14</v>
      </c>
      <c r="B10" s="82">
        <v>36443.055349000002</v>
      </c>
      <c r="C10" s="82">
        <v>27687.386488</v>
      </c>
      <c r="D10" s="82">
        <v>17363.224113</v>
      </c>
      <c r="E10" s="82">
        <v>19963.835415000001</v>
      </c>
    </row>
    <row r="11" spans="1:5" ht="15.75" customHeight="1">
      <c r="A11" s="56" t="s">
        <v>216</v>
      </c>
      <c r="B11" s="82">
        <v>26401.282846999999</v>
      </c>
      <c r="C11" s="82">
        <v>37333.577040999997</v>
      </c>
      <c r="D11" s="82">
        <v>44708.567342000002</v>
      </c>
      <c r="E11" s="82">
        <v>55650.076986</v>
      </c>
    </row>
    <row r="12" spans="1:5" ht="15.75" customHeight="1">
      <c r="A12" s="56" t="s">
        <v>16</v>
      </c>
      <c r="B12" s="82">
        <v>62497.301146999998</v>
      </c>
      <c r="C12" s="82">
        <v>68635.110937000005</v>
      </c>
      <c r="D12" s="82">
        <v>68134.693799999994</v>
      </c>
      <c r="E12" s="82">
        <v>87219.126841999998</v>
      </c>
    </row>
    <row r="13" spans="1:5" ht="15.75" customHeight="1">
      <c r="A13" s="56" t="s">
        <v>17</v>
      </c>
      <c r="B13" s="82">
        <v>19415.378547</v>
      </c>
      <c r="C13" s="82">
        <v>20237.580634999998</v>
      </c>
      <c r="D13" s="82">
        <v>19135.256452000001</v>
      </c>
      <c r="E13" s="82">
        <v>13213.309171999999</v>
      </c>
    </row>
    <row r="14" spans="1:5" ht="15.75" customHeight="1">
      <c r="A14" s="56" t="s">
        <v>18</v>
      </c>
      <c r="B14" s="82">
        <v>6112.6471190000002</v>
      </c>
      <c r="C14" s="82">
        <v>8407.1225890000005</v>
      </c>
      <c r="D14" s="82">
        <v>9282.4535730000007</v>
      </c>
      <c r="E14" s="82">
        <v>3410.2495570000001</v>
      </c>
    </row>
    <row r="15" spans="1:5" ht="15.75" customHeight="1">
      <c r="A15" s="56" t="s">
        <v>219</v>
      </c>
      <c r="B15" s="82">
        <v>2715.4120800000001</v>
      </c>
      <c r="C15" s="82">
        <v>4860.9674400000004</v>
      </c>
      <c r="D15" s="82">
        <v>4911.8447120000001</v>
      </c>
      <c r="E15" s="82">
        <v>8078.1407710000003</v>
      </c>
    </row>
    <row r="16" spans="1:5" ht="15.75" customHeight="1">
      <c r="A16" s="56" t="s">
        <v>220</v>
      </c>
      <c r="B16" s="82">
        <v>6764.0430299999998</v>
      </c>
      <c r="C16" s="82">
        <v>6725.0924370000002</v>
      </c>
      <c r="D16" s="82">
        <v>7300.5379400000002</v>
      </c>
      <c r="E16" s="82">
        <v>20307.777457</v>
      </c>
    </row>
    <row r="17" spans="1:9" ht="15.75" customHeight="1">
      <c r="A17" s="56" t="s">
        <v>51</v>
      </c>
      <c r="B17" s="82">
        <v>6572.6008089999996</v>
      </c>
      <c r="C17" s="82">
        <v>8755.6688610000001</v>
      </c>
      <c r="D17" s="82">
        <v>10324.162375</v>
      </c>
      <c r="E17" s="82">
        <v>2590.6113019999998</v>
      </c>
    </row>
    <row r="18" spans="1:9" ht="15.75" customHeight="1">
      <c r="A18" s="56" t="s">
        <v>22</v>
      </c>
      <c r="B18" s="82">
        <f>B21/(B17*1000000/B4)</f>
        <v>2.8627936713020601</v>
      </c>
      <c r="C18" s="82">
        <f>C21/(C17*1000000/C4)</f>
        <v>2.0706584828436903</v>
      </c>
      <c r="D18" s="82">
        <f>D21/(D17*1000000/D4)</f>
        <v>0.90176807200787557</v>
      </c>
      <c r="E18" s="82">
        <f>E21/(E17*1000000/E4)</f>
        <v>5.8634809430009973</v>
      </c>
      <c r="H18" s="59"/>
    </row>
    <row r="19" spans="1:9" ht="15.75" customHeight="1">
      <c r="A19" s="56" t="s">
        <v>23</v>
      </c>
      <c r="B19" s="82"/>
      <c r="C19" s="80"/>
      <c r="D19" s="80"/>
      <c r="E19" s="80"/>
    </row>
    <row r="20" spans="1:9" ht="15.75" customHeight="1">
      <c r="A20" s="56" t="s">
        <v>24</v>
      </c>
      <c r="B20" s="82">
        <v>32955.948896000002</v>
      </c>
      <c r="C20" s="82">
        <v>43777.846162000002</v>
      </c>
      <c r="D20" s="82">
        <v>37996.802359000001</v>
      </c>
      <c r="E20" s="82">
        <v>32078.800330999999</v>
      </c>
    </row>
    <row r="21" spans="1:9" ht="15.75" customHeight="1">
      <c r="A21" s="56" t="s">
        <v>25</v>
      </c>
      <c r="B21" s="80">
        <v>960</v>
      </c>
      <c r="C21" s="80">
        <v>925</v>
      </c>
      <c r="D21" s="80">
        <v>475</v>
      </c>
      <c r="E21" s="80">
        <v>775</v>
      </c>
    </row>
    <row r="22" spans="1:9" ht="15.75" customHeight="1">
      <c r="A22" s="56" t="s">
        <v>26</v>
      </c>
      <c r="B22" s="82">
        <v>17224.898289000001</v>
      </c>
      <c r="C22" s="82">
        <v>24698.180434999998</v>
      </c>
      <c r="D22" s="82">
        <v>11954.993103999999</v>
      </c>
      <c r="E22" s="82">
        <v>18109.044115000001</v>
      </c>
    </row>
    <row r="23" spans="1:9" ht="15.75" customHeight="1">
      <c r="A23" s="56" t="s">
        <v>27</v>
      </c>
    </row>
    <row r="24" spans="1:9" ht="15.75" customHeight="1">
      <c r="H24" s="58"/>
      <c r="I24" s="58"/>
    </row>
    <row r="25" spans="1:9" ht="15.75" customHeight="1">
      <c r="A25" s="58" t="s">
        <v>28</v>
      </c>
      <c r="B25" s="58" t="s">
        <v>29</v>
      </c>
    </row>
    <row r="26" spans="1:9" ht="15.75" customHeight="1">
      <c r="A26" s="56" t="s">
        <v>265</v>
      </c>
      <c r="B26" s="60">
        <v>0.51500000000000001</v>
      </c>
      <c r="E26" s="58"/>
      <c r="F26" s="58"/>
      <c r="G26" s="58"/>
    </row>
    <row r="27" spans="1:9" ht="15.75" customHeight="1">
      <c r="A27" s="56" t="s">
        <v>297</v>
      </c>
      <c r="B27" s="60">
        <v>0.255</v>
      </c>
    </row>
    <row r="28" spans="1:9" ht="15.75" customHeight="1">
      <c r="A28" s="56" t="s">
        <v>31</v>
      </c>
      <c r="B28" s="61">
        <v>0.23</v>
      </c>
    </row>
    <row r="29" spans="1:9" ht="15.75" customHeight="1">
      <c r="B29" s="60"/>
    </row>
    <row r="30" spans="1:9" ht="15.75" customHeight="1">
      <c r="A30" s="55" t="s">
        <v>80</v>
      </c>
    </row>
    <row r="31" spans="1:9" ht="15.75" customHeight="1"/>
    <row r="32" spans="1:9" ht="15.75" customHeight="1">
      <c r="A32" s="56" t="s">
        <v>34</v>
      </c>
      <c r="B32" s="56" t="s">
        <v>35</v>
      </c>
      <c r="C32" s="56" t="s">
        <v>36</v>
      </c>
      <c r="D32" s="56" t="s">
        <v>341</v>
      </c>
    </row>
    <row r="33" spans="1:7" ht="15.75" customHeight="1">
      <c r="A33" s="62" t="s">
        <v>98</v>
      </c>
      <c r="B33" s="63" t="s">
        <v>298</v>
      </c>
      <c r="C33" s="62" t="s">
        <v>70</v>
      </c>
      <c r="D33" s="62" t="s">
        <v>180</v>
      </c>
    </row>
    <row r="34" spans="1:7" ht="15.75" customHeight="1"/>
    <row r="35" spans="1:7" ht="15.75" customHeight="1">
      <c r="A35" s="58"/>
      <c r="B35" s="58" t="s">
        <v>42</v>
      </c>
      <c r="C35" s="58" t="s">
        <v>43</v>
      </c>
      <c r="D35" s="58" t="s">
        <v>44</v>
      </c>
      <c r="E35" s="58" t="s">
        <v>45</v>
      </c>
      <c r="F35" s="58" t="s">
        <v>46</v>
      </c>
      <c r="G35" s="58" t="s">
        <v>47</v>
      </c>
    </row>
    <row r="36" spans="1:7" ht="15.75" customHeight="1">
      <c r="A36" s="56" t="s">
        <v>146</v>
      </c>
      <c r="B36" s="56">
        <v>25085.603719999999</v>
      </c>
      <c r="D36" s="56">
        <v>42868.302910999999</v>
      </c>
      <c r="F36" s="56" t="s">
        <v>65</v>
      </c>
      <c r="G36" s="56" t="s">
        <v>65</v>
      </c>
    </row>
    <row r="37" spans="1:7" ht="15.75" customHeight="1">
      <c r="A37" s="56" t="s">
        <v>51</v>
      </c>
      <c r="B37" s="56">
        <v>3207.6258250000001</v>
      </c>
      <c r="C37" s="60">
        <v>-0.32</v>
      </c>
      <c r="D37" s="56">
        <v>6707.3064629999999</v>
      </c>
      <c r="E37" s="60">
        <v>-6.31</v>
      </c>
      <c r="F37" s="56" t="s">
        <v>65</v>
      </c>
      <c r="G37" s="56" t="s">
        <v>65</v>
      </c>
    </row>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dimension ref="A1:K998"/>
  <sheetViews>
    <sheetView topLeftCell="A18" workbookViewId="0">
      <selection activeCell="D31" sqref="D31"/>
    </sheetView>
  </sheetViews>
  <sheetFormatPr baseColWidth="10" defaultColWidth="14.453125" defaultRowHeight="15" customHeight="1"/>
  <cols>
    <col min="1" max="1" width="44.54296875" customWidth="1"/>
    <col min="2" max="2" width="12.7265625" customWidth="1"/>
    <col min="3" max="5" width="8.7265625" customWidth="1"/>
  </cols>
  <sheetData>
    <row r="1" spans="1:5" ht="14.5">
      <c r="A1" s="53" t="s">
        <v>315</v>
      </c>
      <c r="B1" s="53" t="s">
        <v>317</v>
      </c>
    </row>
    <row r="2" spans="1:5" ht="87">
      <c r="A2" s="52" t="s">
        <v>299</v>
      </c>
      <c r="B2" s="49" t="s">
        <v>318</v>
      </c>
    </row>
    <row r="3" spans="1:5" ht="15.75" customHeight="1"/>
    <row r="4" spans="1:5" ht="15.75" customHeight="1">
      <c r="A4" s="54" t="s">
        <v>100</v>
      </c>
      <c r="B4" s="69">
        <v>9183400</v>
      </c>
      <c r="C4" s="69">
        <v>9183400</v>
      </c>
      <c r="D4" s="69">
        <v>9183400</v>
      </c>
      <c r="E4" s="71"/>
    </row>
    <row r="5" spans="1:5" ht="15.75" customHeight="1">
      <c r="B5" s="71"/>
      <c r="C5" s="71"/>
      <c r="D5" s="71"/>
      <c r="E5" s="71"/>
    </row>
    <row r="6" spans="1:5" ht="15.75" customHeight="1">
      <c r="A6" s="17" t="s">
        <v>6</v>
      </c>
      <c r="B6" s="70">
        <v>2021</v>
      </c>
      <c r="C6" s="70">
        <v>2022</v>
      </c>
      <c r="D6" s="70">
        <v>2023</v>
      </c>
      <c r="E6" s="70">
        <v>2024</v>
      </c>
    </row>
    <row r="7" spans="1:5" ht="15.75" customHeight="1">
      <c r="A7" s="51" t="s">
        <v>215</v>
      </c>
      <c r="B7" s="74">
        <v>17995.820739999999</v>
      </c>
      <c r="C7" s="74">
        <v>10620.24</v>
      </c>
      <c r="D7" s="74">
        <v>9486.8250000000007</v>
      </c>
      <c r="E7" s="71"/>
    </row>
    <row r="8" spans="1:5" ht="15.75" customHeight="1">
      <c r="A8" s="11" t="s">
        <v>214</v>
      </c>
      <c r="B8" s="74">
        <v>29070.807129000001</v>
      </c>
      <c r="C8" s="74">
        <v>9328.2200479999992</v>
      </c>
      <c r="D8" s="74">
        <v>10605.269891</v>
      </c>
      <c r="E8" s="71"/>
    </row>
    <row r="9" spans="1:5" ht="15.75" customHeight="1">
      <c r="A9" s="11" t="s">
        <v>13</v>
      </c>
      <c r="B9" s="74">
        <v>48697.419271999999</v>
      </c>
      <c r="C9" s="74">
        <v>22361.430393999999</v>
      </c>
      <c r="D9" s="74">
        <v>23009.562675000001</v>
      </c>
      <c r="E9" s="71"/>
    </row>
    <row r="10" spans="1:5" ht="15.75" customHeight="1">
      <c r="A10" s="11" t="s">
        <v>14</v>
      </c>
      <c r="B10" s="74">
        <v>1699.7516519999999</v>
      </c>
      <c r="C10" s="74">
        <v>-10773.429335000001</v>
      </c>
      <c r="D10" s="74">
        <v>-10658.856096</v>
      </c>
      <c r="E10" s="71"/>
    </row>
    <row r="11" spans="1:5" ht="15.75" customHeight="1">
      <c r="A11" s="11" t="s">
        <v>216</v>
      </c>
      <c r="B11" s="74">
        <v>32041.933415</v>
      </c>
      <c r="C11" s="74">
        <v>14148.822322</v>
      </c>
      <c r="D11" s="74">
        <v>14392.229394</v>
      </c>
      <c r="E11" s="71"/>
    </row>
    <row r="12" spans="1:5" ht="15.75" customHeight="1">
      <c r="A12" s="11" t="s">
        <v>16</v>
      </c>
      <c r="B12" s="74">
        <v>46059.378554000003</v>
      </c>
      <c r="C12" s="74">
        <v>36174.56338</v>
      </c>
      <c r="D12" s="74">
        <v>34682.083214999999</v>
      </c>
      <c r="E12" s="71"/>
    </row>
    <row r="13" spans="1:5" ht="15.75" customHeight="1">
      <c r="A13" s="11" t="s">
        <v>17</v>
      </c>
      <c r="B13" s="74">
        <v>2391.3557500000002</v>
      </c>
      <c r="C13" s="74">
        <v>963.372883</v>
      </c>
      <c r="D13" s="74">
        <v>10283.922382000001</v>
      </c>
      <c r="E13" s="71"/>
    </row>
    <row r="14" spans="1:5" ht="15.75" customHeight="1">
      <c r="A14" s="11" t="s">
        <v>18</v>
      </c>
      <c r="B14" s="74">
        <v>8091.7418070000003</v>
      </c>
      <c r="C14" s="74">
        <v>-6165.0130550000003</v>
      </c>
      <c r="D14" s="74">
        <v>1803.8631929999999</v>
      </c>
      <c r="E14" s="71"/>
    </row>
    <row r="15" spans="1:5" ht="15.75" customHeight="1">
      <c r="A15" s="11" t="s">
        <v>248</v>
      </c>
      <c r="B15" s="74">
        <v>-7805.4374989999997</v>
      </c>
      <c r="C15" s="74">
        <v>-4639.9673059999996</v>
      </c>
      <c r="D15" s="74">
        <v>1573.5533370000001</v>
      </c>
      <c r="E15" s="71"/>
    </row>
    <row r="16" spans="1:5" ht="15.75" customHeight="1">
      <c r="A16" s="11" t="s">
        <v>300</v>
      </c>
      <c r="B16" s="74">
        <v>-4573.9965000000002</v>
      </c>
      <c r="C16" s="74">
        <v>-6531.2062580000002</v>
      </c>
      <c r="D16" s="74">
        <v>3340.6431769999999</v>
      </c>
      <c r="E16" s="71"/>
    </row>
    <row r="17" spans="1:11" ht="15.75" customHeight="1">
      <c r="A17" s="11" t="s">
        <v>51</v>
      </c>
      <c r="B17" s="74">
        <v>6090.7557319999996</v>
      </c>
      <c r="C17" s="74">
        <v>-6382.6003860000001</v>
      </c>
      <c r="D17" s="74">
        <v>640.33485499999995</v>
      </c>
      <c r="E17" s="71"/>
    </row>
    <row r="18" spans="1:11" ht="15.75" customHeight="1">
      <c r="A18" s="11" t="s">
        <v>22</v>
      </c>
      <c r="B18" s="69">
        <f>B21/(B17*1000000/B4)</f>
        <v>7.3729481161205763</v>
      </c>
      <c r="C18" s="69"/>
      <c r="D18" s="69">
        <f>D21/(D17*1000000/D4)</f>
        <v>71.707794197771719</v>
      </c>
      <c r="E18" s="71"/>
    </row>
    <row r="19" spans="1:11" ht="15.75" customHeight="1">
      <c r="A19" s="11" t="s">
        <v>23</v>
      </c>
      <c r="B19" s="71"/>
      <c r="C19" s="71"/>
      <c r="D19" s="71"/>
      <c r="E19" s="71"/>
    </row>
    <row r="20" spans="1:11" ht="15.75" customHeight="1">
      <c r="A20" s="11" t="s">
        <v>24</v>
      </c>
      <c r="B20" s="74">
        <v>46976.268268</v>
      </c>
      <c r="C20" s="74">
        <v>33088.322310000003</v>
      </c>
      <c r="D20" s="74">
        <v>33645.847031999998</v>
      </c>
      <c r="E20" s="71"/>
    </row>
    <row r="21" spans="1:11" ht="15.75" customHeight="1">
      <c r="A21" s="11" t="s">
        <v>25</v>
      </c>
      <c r="B21" s="69">
        <v>4890</v>
      </c>
      <c r="C21" s="69">
        <v>7025</v>
      </c>
      <c r="D21" s="69">
        <v>5000</v>
      </c>
      <c r="E21" s="69">
        <v>6475</v>
      </c>
      <c r="G21" s="17"/>
      <c r="H21" s="17"/>
      <c r="I21" s="17"/>
      <c r="J21" s="17"/>
      <c r="K21" s="17"/>
    </row>
    <row r="22" spans="1:11" ht="15.75" customHeight="1">
      <c r="A22" s="11" t="s">
        <v>26</v>
      </c>
      <c r="B22" s="74">
        <v>1318.7310150000001</v>
      </c>
      <c r="C22" s="74"/>
      <c r="D22" s="74">
        <v>69.024569999999997</v>
      </c>
      <c r="E22" s="71"/>
    </row>
    <row r="23" spans="1:11" ht="15.75" customHeight="1">
      <c r="A23" s="11" t="s">
        <v>27</v>
      </c>
      <c r="B23" s="71"/>
      <c r="C23" s="71"/>
      <c r="D23" s="71"/>
      <c r="E23" s="71"/>
    </row>
    <row r="24" spans="1:11" ht="15.75" customHeight="1"/>
    <row r="25" spans="1:11" ht="15.75" customHeight="1">
      <c r="A25" s="17" t="s">
        <v>28</v>
      </c>
      <c r="B25" s="17" t="s">
        <v>29</v>
      </c>
    </row>
    <row r="26" spans="1:11" ht="15.75" customHeight="1">
      <c r="A26" s="11" t="s">
        <v>301</v>
      </c>
      <c r="B26" s="18">
        <v>0.89980000000000004</v>
      </c>
    </row>
    <row r="27" spans="1:11" ht="15.75" customHeight="1">
      <c r="A27" s="11" t="s">
        <v>31</v>
      </c>
      <c r="B27" s="18">
        <v>0.1002</v>
      </c>
    </row>
    <row r="28" spans="1:11" ht="15.75" customHeight="1">
      <c r="B28" s="20"/>
    </row>
    <row r="29" spans="1:11" ht="15.75" customHeight="1">
      <c r="A29" s="53" t="s">
        <v>33</v>
      </c>
      <c r="B29" s="18"/>
    </row>
    <row r="30" spans="1:11" ht="15.75" customHeight="1"/>
    <row r="31" spans="1:11" ht="15.75" customHeight="1">
      <c r="A31" s="12" t="s">
        <v>34</v>
      </c>
      <c r="B31" s="12" t="s">
        <v>35</v>
      </c>
      <c r="C31" s="12" t="s">
        <v>36</v>
      </c>
      <c r="D31" s="12" t="s">
        <v>341</v>
      </c>
      <c r="E31" s="12"/>
    </row>
    <row r="32" spans="1:11" ht="15.75" customHeight="1">
      <c r="A32" s="13" t="s">
        <v>302</v>
      </c>
      <c r="B32" s="14" t="s">
        <v>303</v>
      </c>
      <c r="C32" s="15" t="s">
        <v>304</v>
      </c>
      <c r="D32" s="15" t="s">
        <v>135</v>
      </c>
      <c r="E32" s="1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SOLIBRA</vt:lpstr>
      <vt:lpstr>BERNABE CI</vt:lpstr>
      <vt:lpstr>NESTLE CI</vt:lpstr>
      <vt:lpstr>SMB</vt:lpstr>
      <vt:lpstr>SITAB</vt:lpstr>
      <vt:lpstr>UNIWAX CI</vt:lpstr>
      <vt:lpstr>FILTISAC</vt:lpstr>
      <vt:lpstr>Total CI</vt:lpstr>
      <vt:lpstr>TOTAL SN</vt:lpstr>
      <vt:lpstr>VIVO ENERGY</vt:lpstr>
      <vt:lpstr>SONATEL SN</vt:lpstr>
      <vt:lpstr>ORANGE CI</vt:lpstr>
      <vt:lpstr>ONATEL BF</vt:lpstr>
      <vt:lpstr>SODE CI</vt:lpstr>
      <vt:lpstr>CIE CI</vt:lpstr>
      <vt:lpstr>CFAO MOTORS CI</vt:lpstr>
      <vt:lpstr>SERVAIR CI</vt:lpstr>
      <vt:lpstr>TRACTAFRIC CI</vt:lpstr>
      <vt:lpstr>AGL</vt:lpstr>
      <vt:lpstr>Air Liquide</vt:lpstr>
      <vt:lpstr>EVIOSYS</vt:lpstr>
      <vt:lpstr>NEI CEDA</vt:lpstr>
      <vt:lpstr>LNB</vt:lpstr>
      <vt:lpstr>PALM CI</vt:lpstr>
      <vt:lpstr>SAPH</vt:lpstr>
      <vt:lpstr>SETAO</vt:lpstr>
      <vt:lpstr>SICABLE</vt:lpstr>
      <vt:lpstr>SICOR</vt:lpstr>
      <vt:lpstr>SOGB</vt:lpstr>
      <vt:lpstr>SUCRIVOIRE</vt:lpstr>
      <vt:lpstr>UNILEVER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Franck</cp:lastModifiedBy>
  <dcterms:created xsi:type="dcterms:W3CDTF">2025-10-24T22:20:13Z</dcterms:created>
  <dcterms:modified xsi:type="dcterms:W3CDTF">2025-12-11T05:40:56Z</dcterms:modified>
</cp:coreProperties>
</file>