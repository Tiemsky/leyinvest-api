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ranck\Downloads\"/>
    </mc:Choice>
  </mc:AlternateContent>
  <bookViews>
    <workbookView xWindow="0" yWindow="0" windowWidth="19200" windowHeight="6930" firstSheet="15" activeTab="15"/>
  </bookViews>
  <sheets>
    <sheet name="SAFCA" sheetId="2" r:id="rId1"/>
    <sheet name="BOA CI" sheetId="3" r:id="rId2"/>
    <sheet name="BOA MALI" sheetId="4" r:id="rId3"/>
    <sheet name="BOA BENIN" sheetId="5" r:id="rId4"/>
    <sheet name="BOA SENEGAL" sheetId="6" r:id="rId5"/>
    <sheet name="BOA NIGER" sheetId="7" r:id="rId6"/>
    <sheet name="BOA BF" sheetId="8" r:id="rId7"/>
    <sheet name="SIB CI" sheetId="9" r:id="rId8"/>
    <sheet name="SGCI" sheetId="10" r:id="rId9"/>
    <sheet name="CORIS BANK BF" sheetId="11" r:id="rId10"/>
    <sheet name="ECOBANK CI" sheetId="12" r:id="rId11"/>
    <sheet name="NSIA BANQUE" sheetId="13" r:id="rId12"/>
    <sheet name="BICI CI" sheetId="14" r:id="rId13"/>
    <sheet name="ETI" sheetId="15" r:id="rId14"/>
    <sheet name="Oragroup" sheetId="16" r:id="rId15"/>
    <sheet name="Banque Internationale du Commer" sheetId="17" r:id="rId16"/>
  </sheets>
  <calcPr calcId="162913"/>
  <extLst>
    <ext uri="GoogleSheetsCustomDataVersion2">
      <go:sheetsCustomData xmlns:go="http://customooxmlschemas.google.com/" r:id="rId21" roundtripDataChecksum="eSz7ciaRLERJ2nxz+5y7fkff9uwjvhC9RHBJOGDYUn8="/>
    </ext>
  </extLst>
</workbook>
</file>

<file path=xl/calcChain.xml><?xml version="1.0" encoding="utf-8"?>
<calcChain xmlns="http://schemas.openxmlformats.org/spreadsheetml/2006/main">
  <c r="E14" i="17" l="1"/>
  <c r="D14" i="17"/>
  <c r="E9" i="17"/>
  <c r="D9" i="17"/>
  <c r="E10" i="16"/>
  <c r="D10" i="16"/>
  <c r="C10" i="16"/>
  <c r="B10" i="16"/>
  <c r="C27" i="15"/>
  <c r="B27" i="15"/>
  <c r="B19" i="13"/>
  <c r="D23" i="12"/>
  <c r="B23" i="12"/>
  <c r="E23" i="11"/>
  <c r="E23" i="9"/>
  <c r="D23" i="9"/>
  <c r="D19" i="9" s="1"/>
  <c r="C23" i="9"/>
  <c r="C19" i="9" s="1"/>
  <c r="E19" i="9"/>
  <c r="D4" i="9"/>
  <c r="C4" i="9"/>
  <c r="B4" i="9"/>
  <c r="B19" i="9" s="1"/>
  <c r="E19" i="8"/>
  <c r="E18" i="8"/>
  <c r="B18" i="8"/>
  <c r="D4" i="8"/>
  <c r="D19" i="8" s="1"/>
  <c r="C4" i="8"/>
  <c r="C19" i="8" s="1"/>
  <c r="B4" i="8"/>
  <c r="B19" i="8" s="1"/>
  <c r="D4" i="7"/>
  <c r="C4" i="7"/>
  <c r="B4" i="7"/>
  <c r="D3" i="6"/>
  <c r="C3" i="6"/>
  <c r="B3" i="6"/>
  <c r="E4" i="4"/>
  <c r="D4" i="4"/>
  <c r="C4" i="4"/>
  <c r="B4" i="4"/>
  <c r="C11" i="2"/>
  <c r="C18" i="8" l="1"/>
  <c r="D18" i="8"/>
</calcChain>
</file>

<file path=xl/sharedStrings.xml><?xml version="1.0" encoding="utf-8"?>
<sst xmlns="http://schemas.openxmlformats.org/spreadsheetml/2006/main" count="667" uniqueCount="235">
  <si>
    <t>Immobilisations incorporelles</t>
  </si>
  <si>
    <t>Immobilisations corporelles</t>
  </si>
  <si>
    <t>Total Actif</t>
  </si>
  <si>
    <t>Dépôts de la clientèle</t>
  </si>
  <si>
    <t>Coût du risque</t>
  </si>
  <si>
    <t>Résultat avant impôt</t>
  </si>
  <si>
    <t>CAPEX</t>
  </si>
  <si>
    <t>Présentation</t>
  </si>
  <si>
    <t xml:space="preserve">La Société Africaine de Crédit Automobile » (SAFCA), implantée en Côte d’Ivoire depuis 1958, est spécialisée dans le crédit-bail et le financement de biens mobiliers et immobiliers grâce à une large gamme de produits financiers. Depuis 2025, elle est devenue une filiale du groupe panafricain Crédit d'Afrique Groupe (Credaf Group).
</t>
  </si>
  <si>
    <t>Nombre de titres</t>
  </si>
  <si>
    <t>8 119 750</t>
  </si>
  <si>
    <t>9 119 750</t>
  </si>
  <si>
    <t>10 119 750</t>
  </si>
  <si>
    <t>11 119 750</t>
  </si>
  <si>
    <t>Indicateurs</t>
  </si>
  <si>
    <t>Total Immobilisation</t>
  </si>
  <si>
    <t>Crédits à la clientèle</t>
  </si>
  <si>
    <t>Capitaux propres</t>
  </si>
  <si>
    <t>Dette totale</t>
  </si>
  <si>
    <t>Produit Net Bancaire</t>
  </si>
  <si>
    <t>EBIT (RE)</t>
  </si>
  <si>
    <t>EBITDA (RBE ou EBE)</t>
  </si>
  <si>
    <t>Résultat avant Impôt</t>
  </si>
  <si>
    <t>Résultat Net</t>
  </si>
  <si>
    <t>PER</t>
  </si>
  <si>
    <t>-</t>
  </si>
  <si>
    <t>DNPA</t>
  </si>
  <si>
    <t>Coût du Risque</t>
  </si>
  <si>
    <t>Cours au 31/12</t>
  </si>
  <si>
    <t>Dividendes Bruts</t>
  </si>
  <si>
    <t>Actionnaires</t>
  </si>
  <si>
    <t>Pourcentage</t>
  </si>
  <si>
    <t>ALIOS FINANCE SA</t>
  </si>
  <si>
    <t>MATFORCE</t>
  </si>
  <si>
    <t>PROPARCO</t>
  </si>
  <si>
    <t>AMSA ASSURANCES</t>
  </si>
  <si>
    <t>STAR AUTO</t>
  </si>
  <si>
    <t>DIVERSES PERSONNES MORALES CI</t>
  </si>
  <si>
    <t>BRVM (DIVERS PORTEURS)</t>
  </si>
  <si>
    <t>AUTRES ASSUREURS</t>
  </si>
  <si>
    <t>MANUTENTION AFRICAINE</t>
  </si>
  <si>
    <t>ATC COMAFRIQUE</t>
  </si>
  <si>
    <t>SIDAF</t>
  </si>
  <si>
    <t>SIFF</t>
  </si>
  <si>
    <t>PREMOTO</t>
  </si>
  <si>
    <t>AMERICAN CARS</t>
  </si>
  <si>
    <t>Fonction</t>
  </si>
  <si>
    <t>PCA</t>
  </si>
  <si>
    <t>DG</t>
  </si>
  <si>
    <t>DAF</t>
  </si>
  <si>
    <t>Directeur Marketing/commercial</t>
  </si>
  <si>
    <t>M. Hichem ZGHAL</t>
  </si>
  <si>
    <t>M.HICHAM DAOUK</t>
  </si>
  <si>
    <t>M.Hassène Zaâzaâ</t>
  </si>
  <si>
    <t>M.OLIVIER BAMAN</t>
  </si>
  <si>
    <t>BOA Côte d'Ivoire, ouverte en 1996, est une filiale du Groupe BOA. À l’instar de ses entités « sœurs », BOA CI est une banque commerciale opérant sur les marchés Retail et Corporate, avec un effectif de 493 personnes réparties dans 42 agences.</t>
  </si>
  <si>
    <t>Nombres de titres</t>
  </si>
  <si>
    <t>Actionnariat</t>
  </si>
  <si>
    <t>BOA WEST AFRICA</t>
  </si>
  <si>
    <t>DIVERS ACTIONNAIRES PRIVÉS (BOURSE)</t>
  </si>
  <si>
    <t>ATTICA S.A.</t>
  </si>
  <si>
    <t>SIDAM</t>
  </si>
  <si>
    <t>SUNU ASSURANCES VIE CI</t>
  </si>
  <si>
    <t>BOA-CI LIQUIDITÉ ACTIONS</t>
  </si>
  <si>
    <t>SICAV ABD DF</t>
  </si>
  <si>
    <t>FCP GLOBAL INVESTORS</t>
  </si>
  <si>
    <t>FCP EMERGENCE</t>
  </si>
  <si>
    <t>DIVERSES PERSONNELLES MORALES</t>
  </si>
  <si>
    <t>Mr.Lala MOULAYE EZZEDINE</t>
  </si>
  <si>
    <t xml:space="preserve">Mr.  Redouane TOUBI </t>
  </si>
  <si>
    <t xml:space="preserve"> Raymond KOUASSI</t>
  </si>
  <si>
    <t>Joseph Akossi AKEO</t>
  </si>
  <si>
    <t>Ouverte au public en janvier 1982, BOA MALI dispose actuellement d’un capital de 15,45 milliards FCFA. Elle intervient sur les marchés Retail, Corporate et PME/PMI. La banque possède un total de bilan de 457 milliards FCFA, réparti sur un réseau de 31 agences.</t>
  </si>
  <si>
    <t>BOA West Africa</t>
  </si>
  <si>
    <t>Divers Maliens</t>
  </si>
  <si>
    <t>Divers Actionnaires Privés (Bourse)</t>
  </si>
  <si>
    <t>BOA Bénin</t>
  </si>
  <si>
    <t>M. CISSE Modibo</t>
  </si>
  <si>
    <t>Mr.  Georges NABI</t>
  </si>
  <si>
    <t xml:space="preserve"> Diakité Ousmane</t>
  </si>
  <si>
    <t>Ouverte au public en janvier 1990, BOA BENIN est une filiale du groupe BOA. Fin 2017, la banque affichait un total du bilan de 975 milliards répartis sur un réseau de plus de 48 agences.</t>
  </si>
  <si>
    <t>BOAD</t>
  </si>
  <si>
    <t xml:space="preserve">Fonction </t>
  </si>
  <si>
    <t>Mr Kassimou ABOU KABASSI</t>
  </si>
  <si>
    <t>Mr. Sadio CISSE</t>
  </si>
  <si>
    <t>Carmeille Didier</t>
  </si>
  <si>
    <t>Nadine da SILVA</t>
  </si>
  <si>
    <t>Ouverte au public en 2001, BOA SENEGAL détient actuellement un capital de 24 milliards de francs CFA. Au 31/12/2017, elle affiche un total du bilan de plus de 463 milliards de francs CFA répartis sur un réseau de 60 agences.</t>
  </si>
  <si>
    <t>Dividendes</t>
  </si>
  <si>
    <t>U.A. Sen Vie</t>
  </si>
  <si>
    <t>Xeewel SA</t>
  </si>
  <si>
    <t>IPRES</t>
  </si>
  <si>
    <t>Divers Sénégalais</t>
  </si>
  <si>
    <t>M.  Alioune NDOUR DIOUF</t>
  </si>
  <si>
    <t>M. Sadio CISSE</t>
  </si>
  <si>
    <t xml:space="preserve"> </t>
  </si>
  <si>
    <t>Ferst Gracias Edgaeth MALONGA</t>
  </si>
  <si>
    <t>Ouverte au public le 25 avril 1994 sous la forme d'une société anonyme à conseil d'administration, la BOA NIGER détient un capital de 10 milliards de francs CFA. Elle affiche un total du bilan de 295 milliards et un total des dépôts de 157 milliards pour 28 agences.</t>
  </si>
  <si>
    <t>Dividendes bruts</t>
  </si>
  <si>
    <t>DIVERS NIGÉRIENS</t>
  </si>
  <si>
    <t>M.  Boureima WANKOYE</t>
  </si>
  <si>
    <t>M. Mactar DIACK</t>
  </si>
  <si>
    <t>Boubacar Ali Salamatou</t>
  </si>
  <si>
    <t>Créée en 1998, BOA Burkina Faso est une filiale du groupe BOA qui compte 44 agences, dont 23 en province et un centre d'affaires dans la capitale Ouagadougou. BOA BF est l'un des 4 principaux acteurs du secteur bancaire burkinabé.</t>
  </si>
  <si>
    <t>LASSINE DIAWARA</t>
  </si>
  <si>
    <t>UNION DES ASSURANCES DU BURKINA-VIE</t>
  </si>
  <si>
    <t>Mr.Lassiné DIAWARA</t>
  </si>
  <si>
    <t xml:space="preserve">Mr. Farid Bouri </t>
  </si>
  <si>
    <t>Estelle Véronique Bouda</t>
  </si>
  <si>
    <t>Bouréima Drabo</t>
  </si>
  <si>
    <t>Créée en 1962, filiale du groupe Attijariwafa Bank, la Société Ivoirienne de Banque (SIB) est l'une des cinq principales banques de Côte d'Ivoire. Elle est implantée dans 15 villes et dispose d'un solide réseau de 54 agences.</t>
  </si>
  <si>
    <t>Actionnaire</t>
  </si>
  <si>
    <t>GROUPE ATTIJARIWAFA BANK</t>
  </si>
  <si>
    <t>ATTIJARI IVOIRE</t>
  </si>
  <si>
    <t>HOLDING OFFSHORE SA</t>
  </si>
  <si>
    <t xml:space="preserve">M. Georges Léon N’DIA COFFI
</t>
  </si>
  <si>
    <t>M. Mohamed EL GHAZI</t>
  </si>
  <si>
    <t>Mme.Cynthia AKELE WILSON MARIE-FRANCE</t>
  </si>
  <si>
    <t>M.</t>
  </si>
  <si>
    <t>Present for more than 50 years in the country, the Société Générale des Banques de Côte d'Ivoire has long held a dominant position in Côte d'Ivoire and plays a leading role in the Ivorian economy.</t>
  </si>
  <si>
    <t>SOCIÉTÉ GÉNÉRALE</t>
  </si>
  <si>
    <t>ALLIANZ CÔTE D’IVOIRE ASSURANCES</t>
  </si>
  <si>
    <t>ALLIANZ BURKINA ASSURANCES</t>
  </si>
  <si>
    <t>SOCIÉTÉ GÉNÉRALE FINANCIAL SERVICES HOL</t>
  </si>
  <si>
    <t>ALLIANZ ASSURANCES VIE</t>
  </si>
  <si>
    <t>ALLIANZ CAMEROUN ASSURANCES</t>
  </si>
  <si>
    <t>ALLIANZ SÉNÉGAL ASSURANCE</t>
  </si>
  <si>
    <t>M. Faman Touré</t>
  </si>
  <si>
    <t>M.Patrick BLAS</t>
  </si>
  <si>
    <t>Mme.Anne-Marie KEITA</t>
  </si>
  <si>
    <t>M.Wilfried ASSI
Directeur Communication/ Mme. Véronique AKA
Directrice Marketing</t>
  </si>
  <si>
    <t>Coris Bank International est une banque à vocation commerciale fortement orientée vers le financement des activités agricoles. Fondée en 2008, Coris Bank International est le premier groupe bancaire burkinabé. Elle compte 55 agences et 4 bureaux répartis dans 29 localités du Burkina Faso.</t>
  </si>
  <si>
    <t>ND</t>
  </si>
  <si>
    <t>CORIS HOLDING</t>
  </si>
  <si>
    <t>PORTEURS A</t>
  </si>
  <si>
    <t>LA POSTE BURKINA FASO</t>
  </si>
  <si>
    <t>SOCIÉTÉ INTERN. D’INVEST.</t>
  </si>
  <si>
    <t>UNION DES ASSURANCES DU BURKINA (UAB)</t>
  </si>
  <si>
    <t>SOCIÉTÉ FINANCIÈRE DU FASO</t>
  </si>
  <si>
    <t>CAISSE NATIONALE DE SÉCURITÉ SOCIALE (CNSS)</t>
  </si>
  <si>
    <t>M.Idrissa Nassa</t>
  </si>
  <si>
    <t>Gisele Gumedzoe</t>
  </si>
  <si>
    <t>Assistant Oumar Aziz Sanou</t>
  </si>
  <si>
    <t>Créée en 1998, Ecobank Côte d'Ivoire est l'une des premières filiales du groupe ECOBANK. Au fil des ans, elle a su se hisser parmi les banques leaders du marché ivoirien. Elle dispose d'un réseau de 37 agences et est présente sur les segments des particuliers, des PME et des institutionnels.</t>
  </si>
  <si>
    <t>ECOBANK TRANSNATIONAL INCORPORATED (ETI)</t>
  </si>
  <si>
    <t>IPS-CNPS</t>
  </si>
  <si>
    <t>PICTET AND CI S.A</t>
  </si>
  <si>
    <t>ENKO AFRICA PRIVATE EQUITY FUND LTD</t>
  </si>
  <si>
    <t>AKA AOUÉLÉ</t>
  </si>
  <si>
    <t>ZADI KESSY KANI</t>
  </si>
  <si>
    <t>ZADI KESSY MARCEL</t>
  </si>
  <si>
    <t>CRRAE-RCPNC</t>
  </si>
  <si>
    <t>CRRAE-RRPC</t>
  </si>
  <si>
    <t>M. Michel Aka-Anghui</t>
  </si>
  <si>
    <t xml:space="preserve">M.Paul-Harry Aithnard </t>
  </si>
  <si>
    <t xml:space="preserve">M. Ayo Adepoju </t>
  </si>
  <si>
    <t>Mdme. Oriane Canfrin</t>
  </si>
  <si>
    <t>La NSIA Bank est une institution bancaire présente en Côte d'Ivoire et dans d'autres pays africains, qui propose divers services tels que des comptes bancaires, des prêts, des placements, des investissements et des assurances.</t>
  </si>
  <si>
    <t>Dividendes buts</t>
  </si>
  <si>
    <t>NSIA VIE CÔTE D'IVOIRE</t>
  </si>
  <si>
    <t>NSIA PARTICIPATIONS SA</t>
  </si>
  <si>
    <t>M.JEAN KACOU DIAGOU</t>
  </si>
  <si>
    <t>M.Léonce Yacé</t>
  </si>
  <si>
    <t>M.Max-Alphée DJECKETH</t>
  </si>
  <si>
    <t>M.Hermann Kangha-Atchinkwassy</t>
  </si>
  <si>
    <t>Créée en 1962, la Banque Internationale du Commerce et de l'Industrie de Côte d'Ivoire est une ancienne filiale de BNP Paribas. Il s'agit d'une banque générale, de gros et de détail dont l'activité s'articule essentiellement autour de trois divisions : la banque de détail, la banque d'entreprise et la banque d'investissement.</t>
  </si>
  <si>
    <t>Capex</t>
  </si>
  <si>
    <t>BNI</t>
  </si>
  <si>
    <t>BRANDON &amp; MCCAIN CAPITAL</t>
  </si>
  <si>
    <t>CAISSE DES DÉPÔTS ET DE CONSIGNATION</t>
  </si>
  <si>
    <t>IPS-CGRAE</t>
  </si>
  <si>
    <t>Mr Ahmed CISSE</t>
  </si>
  <si>
    <t>Mr Mamady Diakité</t>
  </si>
  <si>
    <t xml:space="preserve">Pas de resultat </t>
  </si>
  <si>
    <t>François Koffi</t>
  </si>
  <si>
    <t>Ecobank Transnational Incorporated (ETI) est un groupe bancaire panafricain fondé en 1985 à Lomé, au Togo, avec l’ambition de créer une banque africaine moderne et intégrée. Présent dans plus de 30 pays, le groupe offre des services de banque de détail, commerciale et d’investissement grâce à une plateforme technologique unifiée.</t>
  </si>
  <si>
    <t>Immeubles de placement</t>
  </si>
  <si>
    <t>Emprunts</t>
  </si>
  <si>
    <t>Total actif</t>
  </si>
  <si>
    <t>Produit Net Bancaire (PNB)</t>
  </si>
  <si>
    <t>EBIT (Résultat d’exploitation)</t>
  </si>
  <si>
    <t>EBITDA (Résultat brut d’exploitation)</t>
  </si>
  <si>
    <t>Résultat net</t>
  </si>
  <si>
    <t xml:space="preserve">PER </t>
  </si>
  <si>
    <t>BOSQUET INVESTMENTS LTD</t>
  </si>
  <si>
    <t>QATAR NATIONAL BANK</t>
  </si>
  <si>
    <t>ARISE BV</t>
  </si>
  <si>
    <t>PIC (GEPF)</t>
  </si>
  <si>
    <t>SSNIT</t>
  </si>
  <si>
    <t>M.Papa Madiaw Ndiaye</t>
  </si>
  <si>
    <t xml:space="preserve">M.Jeremy Awori </t>
  </si>
  <si>
    <t>M. Didier NAGBE</t>
  </si>
  <si>
    <t>Oragroup SA est une holding bancaire panafricaine basée au Togo, tête du groupe Orabank. Avec un capital social de 63,3 milliards FCFA, elle pilote un réseau présent dans 12 pays d’Afrique de l’Ouest et du Centre.</t>
  </si>
  <si>
    <t>Total immobilisations</t>
  </si>
  <si>
    <t>Capitaux propres (Part du groupe)</t>
  </si>
  <si>
    <t>Emprunts (emprunts à terme ou dettes représentées par un titre)</t>
  </si>
  <si>
    <t>Dette totale = Dépôts + Emprunts</t>
  </si>
  <si>
    <t xml:space="preserve">CAPEX </t>
  </si>
  <si>
    <t>ECP</t>
  </si>
  <si>
    <t>PUBLIC (BRVM)</t>
  </si>
  <si>
    <t>BIO</t>
  </si>
  <si>
    <t>M.Vincent Le GUENNOU</t>
  </si>
  <si>
    <t>M.Ferdinand KEMOUM</t>
  </si>
  <si>
    <t xml:space="preserve">M.Amédée NONFON </t>
  </si>
  <si>
    <t>M.Rodrigue GOEH AKUE</t>
  </si>
  <si>
    <t>La Banque Internationale pour l’Industrie et le Commerce (BIIC), née en 2020 de la fusion entre la BAIC et la BIBE, s’est imposée comme un acteur bancaire majeur au Bénin. Elle se positionne comme un partenaire stratégique pour les particuliers, entreprises et institutions, tout en contribuant activement au développement économique du pays.</t>
  </si>
  <si>
    <t>Crédits à la clientèle (= Prêts et créances sur la clientèle)</t>
  </si>
  <si>
    <t>Dette totale (Dépôts + Emprunts)</t>
  </si>
  <si>
    <t>DNPA (en F CFA)</t>
  </si>
  <si>
    <t>Cours au 31/12 (en F CFA)</t>
  </si>
  <si>
    <t>CAPEX (Acquisitions d’immobilisations corporelles)</t>
  </si>
  <si>
    <t>Part (%)</t>
  </si>
  <si>
    <t>GRAND PUBLIC</t>
  </si>
  <si>
    <t>CAISSE DES DÉPÔTS ET CONSIGNATIONS DU BÉNIN</t>
  </si>
  <si>
    <t>ÉTAT DU BÉNIN</t>
  </si>
  <si>
    <t>PORT AUTONOME DE COTONOU</t>
  </si>
  <si>
    <t>Mr DAHOUN B. Dieudonné</t>
  </si>
  <si>
    <t>Mr Arsène Dansou</t>
  </si>
  <si>
    <t>Pas de resultat</t>
  </si>
  <si>
    <t>SAFC</t>
  </si>
  <si>
    <t>BOAC</t>
  </si>
  <si>
    <t>BOAM</t>
  </si>
  <si>
    <t>BOAB</t>
  </si>
  <si>
    <t>BOAS</t>
  </si>
  <si>
    <t>BOAN</t>
  </si>
  <si>
    <t>BOABF</t>
  </si>
  <si>
    <t>SIBC</t>
  </si>
  <si>
    <t>SGBC</t>
  </si>
  <si>
    <t>CBIBF</t>
  </si>
  <si>
    <t>ECOC</t>
  </si>
  <si>
    <t>NSBC</t>
  </si>
  <si>
    <t>BICC</t>
  </si>
  <si>
    <t>ETIT</t>
  </si>
  <si>
    <t>ORAC</t>
  </si>
  <si>
    <t>BICB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</si>
</sst>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 mmm\ yyyy"/>
    <numFmt numFmtId="165" formatCode="d\ mmmm\ yyyy"/>
  </numFmts>
  <fonts count="9" x14ac:knownFonts="1">
    <font>
      <sz val="11"/>
      <color theme="1"/>
      <name val="Calibri"/>
      <scheme val="minor"/>
    </font>
    <font>
      <sz val="11"/>
      <color theme="1"/>
      <name val="Calibri"/>
      <family val="2"/>
      <scheme val="minor"/>
    </font>
    <font>
      <sz val="11"/>
      <color theme="1"/>
      <name val="Arial"/>
    </font>
    <font>
      <b/>
      <sz val="11"/>
      <color theme="1"/>
      <name val="Calibri"/>
    </font>
    <font>
      <sz val="11"/>
      <color theme="1"/>
      <name val="Calibri"/>
    </font>
    <font>
      <b/>
      <sz val="11"/>
      <color theme="1"/>
      <name val="Calibri"/>
      <scheme val="minor"/>
    </font>
    <font>
      <sz val="11"/>
      <color theme="1"/>
      <name val="Calibri"/>
      <scheme val="minor"/>
    </font>
    <font>
      <sz val="11"/>
      <color theme="1"/>
      <name val="Arial"/>
    </font>
    <font>
      <sz val="11"/>
      <name val="Calibri"/>
      <family val="2"/>
      <scheme val="major"/>
    </font>
  </fonts>
  <fills count="4">
    <fill>
      <patternFill patternType="none"/>
    </fill>
    <fill>
      <patternFill patternType="gray125"/>
    </fill>
    <fill>
      <patternFill patternType="solid">
        <fgColor rgb="FFD9D9D9"/>
        <bgColor rgb="FFD9D9D9"/>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applyFont="1" applyAlignment="1"/>
    <xf numFmtId="0" fontId="2" fillId="0" borderId="0" xfId="0" applyFont="1" applyAlignment="1"/>
    <xf numFmtId="0" fontId="4" fillId="0" borderId="1" xfId="0" applyFont="1" applyBorder="1" applyAlignment="1">
      <alignment wrapText="1"/>
    </xf>
    <xf numFmtId="0" fontId="5" fillId="0" borderId="0" xfId="0" applyFont="1" applyAlignment="1"/>
    <xf numFmtId="0" fontId="6" fillId="0" borderId="0" xfId="0" applyFont="1" applyAlignment="1">
      <alignment wrapText="1"/>
    </xf>
    <xf numFmtId="0" fontId="6" fillId="0" borderId="0" xfId="0" applyFont="1" applyAlignment="1"/>
    <xf numFmtId="0" fontId="5" fillId="0" borderId="0" xfId="0" applyFont="1" applyAlignment="1">
      <alignment horizontal="center"/>
    </xf>
    <xf numFmtId="9" fontId="6" fillId="0" borderId="0" xfId="0" applyNumberFormat="1" applyFont="1" applyAlignment="1"/>
    <xf numFmtId="10" fontId="6" fillId="0" borderId="0" xfId="0" applyNumberFormat="1" applyFont="1" applyAlignment="1"/>
    <xf numFmtId="10" fontId="6" fillId="0" borderId="0" xfId="0" applyNumberFormat="1" applyFont="1"/>
    <xf numFmtId="0" fontId="6" fillId="0" borderId="0" xfId="0" applyFont="1" applyAlignment="1">
      <alignment horizontal="center"/>
    </xf>
    <xf numFmtId="0" fontId="2" fillId="0" borderId="0" xfId="0" applyFont="1" applyAlignment="1"/>
    <xf numFmtId="0" fontId="7" fillId="0" borderId="0" xfId="0" applyFont="1"/>
    <xf numFmtId="0" fontId="7" fillId="3" borderId="0" xfId="0" applyFont="1" applyFill="1"/>
    <xf numFmtId="0" fontId="2" fillId="0" borderId="0" xfId="0" applyFont="1"/>
    <xf numFmtId="0" fontId="5" fillId="0" borderId="0" xfId="0" applyFont="1"/>
    <xf numFmtId="0" fontId="4" fillId="0" borderId="0" xfId="0" applyFont="1" applyAlignment="1">
      <alignment vertical="top" wrapText="1"/>
    </xf>
    <xf numFmtId="3" fontId="5" fillId="0" borderId="0" xfId="0" applyNumberFormat="1" applyFont="1" applyAlignment="1">
      <alignment horizontal="center"/>
    </xf>
    <xf numFmtId="3" fontId="6" fillId="0" borderId="0" xfId="0" applyNumberFormat="1" applyFont="1" applyAlignment="1"/>
    <xf numFmtId="3" fontId="4" fillId="0" borderId="0" xfId="0" applyNumberFormat="1" applyFont="1"/>
    <xf numFmtId="3" fontId="4" fillId="0" borderId="0" xfId="0" applyNumberFormat="1" applyFont="1" applyAlignment="1"/>
    <xf numFmtId="0" fontId="4" fillId="0" borderId="0" xfId="0" applyFont="1" applyAlignment="1"/>
    <xf numFmtId="0" fontId="4" fillId="0" borderId="0" xfId="0" applyFont="1" applyAlignment="1">
      <alignment wrapText="1"/>
    </xf>
    <xf numFmtId="0" fontId="2" fillId="0" borderId="0" xfId="0" applyFont="1"/>
    <xf numFmtId="0" fontId="7" fillId="3" borderId="0" xfId="0" applyFont="1" applyFill="1"/>
    <xf numFmtId="3" fontId="6" fillId="0" borderId="0" xfId="0" applyNumberFormat="1" applyFont="1"/>
    <xf numFmtId="0" fontId="4" fillId="0" borderId="0" xfId="0" applyFont="1" applyAlignment="1">
      <alignment wrapText="1"/>
    </xf>
    <xf numFmtId="0" fontId="6" fillId="0" borderId="0" xfId="0" applyFont="1"/>
    <xf numFmtId="2" fontId="6" fillId="0" borderId="0" xfId="0" applyNumberFormat="1" applyFont="1" applyAlignment="1"/>
    <xf numFmtId="1" fontId="6" fillId="0" borderId="0" xfId="0" applyNumberFormat="1" applyFont="1" applyAlignment="1"/>
    <xf numFmtId="0" fontId="4" fillId="0" borderId="0" xfId="0" applyFont="1" applyAlignment="1">
      <alignment horizontal="right"/>
    </xf>
    <xf numFmtId="0" fontId="4" fillId="0" borderId="0" xfId="0" applyFont="1" applyAlignment="1"/>
    <xf numFmtId="0" fontId="3" fillId="2" borderId="1" xfId="0" applyFont="1" applyFill="1" applyBorder="1" applyAlignment="1">
      <alignment horizontal="center"/>
    </xf>
    <xf numFmtId="10" fontId="4" fillId="0" borderId="1" xfId="0" applyNumberFormat="1" applyFont="1" applyBorder="1" applyAlignment="1">
      <alignment horizontal="center"/>
    </xf>
    <xf numFmtId="0" fontId="4" fillId="0" borderId="0" xfId="0" applyFont="1" applyAlignment="1">
      <alignment vertical="top" wrapText="1"/>
    </xf>
    <xf numFmtId="0" fontId="4" fillId="0" borderId="0" xfId="0" applyFont="1" applyAlignment="1">
      <alignment horizontal="right"/>
    </xf>
    <xf numFmtId="1" fontId="6" fillId="0" borderId="0" xfId="0" applyNumberFormat="1" applyFont="1"/>
    <xf numFmtId="0" fontId="3" fillId="0" borderId="0" xfId="0" applyFont="1" applyAlignment="1">
      <alignment horizontal="center"/>
    </xf>
    <xf numFmtId="3" fontId="4" fillId="0" borderId="0" xfId="0" applyNumberFormat="1" applyFont="1" applyAlignment="1"/>
    <xf numFmtId="4" fontId="6" fillId="0" borderId="0" xfId="0" applyNumberFormat="1" applyFont="1" applyAlignment="1"/>
    <xf numFmtId="164" fontId="6" fillId="0" borderId="0" xfId="0" applyNumberFormat="1" applyFont="1" applyAlignment="1"/>
    <xf numFmtId="165" fontId="6" fillId="0" borderId="0" xfId="0" applyNumberFormat="1" applyFont="1" applyAlignment="1"/>
    <xf numFmtId="4" fontId="6" fillId="0" borderId="0" xfId="0" applyNumberFormat="1" applyFont="1"/>
    <xf numFmtId="0" fontId="5" fillId="0" borderId="0" xfId="0" applyFont="1" applyAlignment="1">
      <alignment horizontal="center"/>
    </xf>
    <xf numFmtId="0" fontId="0" fillId="0" borderId="0" xfId="0" applyFont="1" applyAlignment="1"/>
    <xf numFmtId="0" fontId="8" fillId="0" borderId="0" xfId="0" applyFont="1" applyAlignment="1">
      <alignment vertical="center"/>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47"/>
  <sheetViews>
    <sheetView workbookViewId="0">
      <selection activeCell="B1" sqref="B1"/>
    </sheetView>
  </sheetViews>
  <sheetFormatPr baseColWidth="10" defaultColWidth="14.453125" defaultRowHeight="15" customHeight="1" x14ac:dyDescent="0.35"/>
  <cols>
    <col min="1" max="1" width="59" customWidth="1"/>
  </cols>
  <sheetData>
    <row r="1" spans="1:5" x14ac:dyDescent="0.35">
      <c r="A1" s="3" t="s">
        <v>7</v>
      </c>
      <c r="B1" s="45" t="s">
        <v>219</v>
      </c>
    </row>
    <row r="2" spans="1:5" x14ac:dyDescent="0.35">
      <c r="A2" s="4" t="s">
        <v>8</v>
      </c>
    </row>
    <row r="4" spans="1:5" x14ac:dyDescent="0.35">
      <c r="A4" s="5" t="s">
        <v>9</v>
      </c>
      <c r="B4" s="5" t="s">
        <v>10</v>
      </c>
      <c r="C4" s="5" t="s">
        <v>11</v>
      </c>
      <c r="D4" s="5" t="s">
        <v>12</v>
      </c>
      <c r="E4" s="5" t="s">
        <v>13</v>
      </c>
    </row>
    <row r="6" spans="1:5" x14ac:dyDescent="0.35">
      <c r="A6" s="6" t="s">
        <v>14</v>
      </c>
      <c r="B6" s="6">
        <v>2021</v>
      </c>
      <c r="C6" s="6">
        <v>2022</v>
      </c>
      <c r="D6" s="6">
        <v>2023</v>
      </c>
      <c r="E6" s="6">
        <v>2024</v>
      </c>
    </row>
    <row r="7" spans="1:5" x14ac:dyDescent="0.35">
      <c r="A7" s="5" t="s">
        <v>15</v>
      </c>
      <c r="B7" s="5">
        <v>3643</v>
      </c>
      <c r="D7" s="5">
        <v>3710</v>
      </c>
      <c r="E7" s="5">
        <v>4440</v>
      </c>
    </row>
    <row r="8" spans="1:5" x14ac:dyDescent="0.35">
      <c r="A8" s="5" t="s">
        <v>16</v>
      </c>
      <c r="B8" s="5">
        <v>45041</v>
      </c>
      <c r="C8" s="5">
        <v>47266</v>
      </c>
      <c r="D8" s="5">
        <v>50415</v>
      </c>
      <c r="E8" s="5">
        <v>52969</v>
      </c>
    </row>
    <row r="9" spans="1:5" x14ac:dyDescent="0.35">
      <c r="A9" s="5" t="s">
        <v>3</v>
      </c>
      <c r="B9" s="5">
        <v>6351</v>
      </c>
      <c r="C9" s="5">
        <v>7256</v>
      </c>
      <c r="D9" s="5">
        <v>8153</v>
      </c>
      <c r="E9" s="5">
        <v>7498</v>
      </c>
    </row>
    <row r="10" spans="1:5" x14ac:dyDescent="0.35">
      <c r="A10" s="5" t="s">
        <v>17</v>
      </c>
      <c r="B10" s="5">
        <v>6195</v>
      </c>
      <c r="C10" s="5">
        <v>5959</v>
      </c>
      <c r="D10" s="5">
        <v>5380</v>
      </c>
      <c r="E10" s="5">
        <v>5215</v>
      </c>
    </row>
    <row r="11" spans="1:5" x14ac:dyDescent="0.35">
      <c r="A11" s="5" t="s">
        <v>18</v>
      </c>
      <c r="B11" s="5">
        <v>52779</v>
      </c>
      <c r="C11" s="5">
        <f>29171+C9</f>
        <v>36427</v>
      </c>
      <c r="D11" s="5">
        <v>54396</v>
      </c>
      <c r="E11" s="5">
        <v>58593</v>
      </c>
    </row>
    <row r="12" spans="1:5" x14ac:dyDescent="0.35">
      <c r="A12" s="5" t="s">
        <v>2</v>
      </c>
      <c r="B12" s="5">
        <v>64690</v>
      </c>
      <c r="C12" s="5">
        <v>67022</v>
      </c>
      <c r="D12" s="5">
        <v>70073</v>
      </c>
      <c r="E12" s="5">
        <v>74195</v>
      </c>
    </row>
    <row r="13" spans="1:5" x14ac:dyDescent="0.35">
      <c r="A13" s="5" t="s">
        <v>19</v>
      </c>
      <c r="B13" s="5">
        <v>3567</v>
      </c>
      <c r="C13" s="5">
        <v>3479</v>
      </c>
      <c r="D13" s="5">
        <v>3693</v>
      </c>
      <c r="E13" s="5">
        <v>3980</v>
      </c>
    </row>
    <row r="14" spans="1:5" x14ac:dyDescent="0.35">
      <c r="A14" s="5" t="s">
        <v>20</v>
      </c>
      <c r="B14" s="5">
        <v>-550</v>
      </c>
      <c r="C14" s="5">
        <v>-1403</v>
      </c>
      <c r="D14" s="5">
        <v>-422</v>
      </c>
      <c r="E14" s="5">
        <v>-75</v>
      </c>
    </row>
    <row r="15" spans="1:5" x14ac:dyDescent="0.35">
      <c r="A15" s="5" t="s">
        <v>21</v>
      </c>
      <c r="B15" s="5">
        <v>135</v>
      </c>
      <c r="C15" s="5">
        <v>-268</v>
      </c>
      <c r="D15" s="5">
        <v>25</v>
      </c>
      <c r="E15" s="5">
        <v>258</v>
      </c>
    </row>
    <row r="16" spans="1:5" x14ac:dyDescent="0.35">
      <c r="A16" s="5" t="s">
        <v>22</v>
      </c>
      <c r="B16" s="5">
        <v>95</v>
      </c>
      <c r="D16" s="5">
        <v>2</v>
      </c>
      <c r="E16" s="5">
        <v>0</v>
      </c>
    </row>
    <row r="17" spans="1:6" x14ac:dyDescent="0.35">
      <c r="A17" s="5" t="s">
        <v>23</v>
      </c>
      <c r="B17" s="5">
        <v>-603</v>
      </c>
      <c r="C17" s="5">
        <v>-235</v>
      </c>
      <c r="D17" s="5">
        <v>-579</v>
      </c>
      <c r="E17" s="5">
        <v>-165</v>
      </c>
    </row>
    <row r="18" spans="1:6" x14ac:dyDescent="0.35">
      <c r="A18" s="5" t="s">
        <v>24</v>
      </c>
      <c r="B18" s="5" t="s">
        <v>25</v>
      </c>
      <c r="C18" s="5" t="s">
        <v>25</v>
      </c>
      <c r="D18" s="5" t="s">
        <v>25</v>
      </c>
      <c r="E18" s="5" t="s">
        <v>25</v>
      </c>
    </row>
    <row r="19" spans="1:6" x14ac:dyDescent="0.35">
      <c r="A19" s="5" t="s">
        <v>26</v>
      </c>
      <c r="B19" s="5" t="s">
        <v>25</v>
      </c>
      <c r="C19" s="5" t="s">
        <v>25</v>
      </c>
      <c r="D19" s="5" t="s">
        <v>25</v>
      </c>
      <c r="E19" s="5" t="s">
        <v>25</v>
      </c>
    </row>
    <row r="20" spans="1:6" x14ac:dyDescent="0.35">
      <c r="A20" s="5" t="s">
        <v>27</v>
      </c>
      <c r="B20" s="5">
        <v>685</v>
      </c>
      <c r="C20" s="5">
        <v>102</v>
      </c>
      <c r="D20" s="5">
        <v>447</v>
      </c>
      <c r="E20" s="5">
        <v>333</v>
      </c>
    </row>
    <row r="21" spans="1:6" x14ac:dyDescent="0.35">
      <c r="A21" s="5" t="s">
        <v>28</v>
      </c>
      <c r="B21" s="5">
        <v>850</v>
      </c>
      <c r="C21" s="5">
        <v>880</v>
      </c>
      <c r="D21" s="5">
        <v>1295</v>
      </c>
      <c r="E21" s="5">
        <v>720</v>
      </c>
    </row>
    <row r="22" spans="1:6" x14ac:dyDescent="0.35">
      <c r="A22" s="5" t="s">
        <v>6</v>
      </c>
      <c r="C22" s="7"/>
      <c r="D22" s="7"/>
      <c r="E22" s="7"/>
    </row>
    <row r="23" spans="1:6" x14ac:dyDescent="0.35">
      <c r="A23" s="5" t="s">
        <v>29</v>
      </c>
      <c r="B23" s="6"/>
      <c r="C23" s="6"/>
      <c r="D23" s="6"/>
      <c r="E23" s="6"/>
      <c r="F23" s="6"/>
    </row>
    <row r="27" spans="1:6" x14ac:dyDescent="0.35">
      <c r="A27" s="6" t="s">
        <v>30</v>
      </c>
      <c r="B27" s="6" t="s">
        <v>31</v>
      </c>
    </row>
    <row r="28" spans="1:6" x14ac:dyDescent="0.35">
      <c r="A28" s="5" t="s">
        <v>32</v>
      </c>
      <c r="B28" s="8">
        <v>0.51870000000000005</v>
      </c>
    </row>
    <row r="29" spans="1:6" x14ac:dyDescent="0.35">
      <c r="A29" s="5" t="s">
        <v>33</v>
      </c>
      <c r="B29" s="8">
        <v>9.2399999999999996E-2</v>
      </c>
    </row>
    <row r="30" spans="1:6" x14ac:dyDescent="0.35">
      <c r="A30" s="5" t="s">
        <v>34</v>
      </c>
      <c r="B30" s="8">
        <v>0.08</v>
      </c>
    </row>
    <row r="31" spans="1:6" x14ac:dyDescent="0.35">
      <c r="A31" s="5" t="s">
        <v>35</v>
      </c>
      <c r="B31" s="8">
        <v>6.9199999999999998E-2</v>
      </c>
    </row>
    <row r="32" spans="1:6" x14ac:dyDescent="0.35">
      <c r="A32" s="5" t="s">
        <v>36</v>
      </c>
      <c r="B32" s="8">
        <v>6.2199999999999998E-2</v>
      </c>
    </row>
    <row r="33" spans="1:7" x14ac:dyDescent="0.35">
      <c r="A33" s="5" t="s">
        <v>37</v>
      </c>
      <c r="B33" s="8">
        <v>5.5899999999999998E-2</v>
      </c>
    </row>
    <row r="34" spans="1:7" x14ac:dyDescent="0.35">
      <c r="A34" s="5" t="s">
        <v>38</v>
      </c>
      <c r="B34" s="8">
        <v>0.05</v>
      </c>
    </row>
    <row r="35" spans="1:7" x14ac:dyDescent="0.35">
      <c r="A35" s="5" t="s">
        <v>39</v>
      </c>
      <c r="B35" s="8">
        <v>1.8700000000000001E-2</v>
      </c>
    </row>
    <row r="36" spans="1:7" x14ac:dyDescent="0.35">
      <c r="A36" s="5" t="s">
        <v>40</v>
      </c>
      <c r="B36" s="8">
        <v>1.8200000000000001E-2</v>
      </c>
    </row>
    <row r="37" spans="1:7" x14ac:dyDescent="0.35">
      <c r="A37" s="5" t="s">
        <v>41</v>
      </c>
      <c r="B37" s="8">
        <v>1.23E-2</v>
      </c>
    </row>
    <row r="38" spans="1:7" x14ac:dyDescent="0.35">
      <c r="A38" s="5" t="s">
        <v>42</v>
      </c>
      <c r="B38" s="8">
        <v>1.0200000000000001E-2</v>
      </c>
    </row>
    <row r="39" spans="1:7" x14ac:dyDescent="0.35">
      <c r="A39" s="5" t="s">
        <v>43</v>
      </c>
      <c r="B39" s="8">
        <v>8.2000000000000007E-3</v>
      </c>
    </row>
    <row r="40" spans="1:7" x14ac:dyDescent="0.35">
      <c r="A40" s="5" t="s">
        <v>44</v>
      </c>
      <c r="B40" s="8">
        <v>3.3999999999999998E-3</v>
      </c>
    </row>
    <row r="41" spans="1:7" x14ac:dyDescent="0.35">
      <c r="A41" s="5" t="s">
        <v>45</v>
      </c>
      <c r="B41" s="8">
        <v>5.9999999999999995E-4</v>
      </c>
    </row>
    <row r="42" spans="1:7" x14ac:dyDescent="0.35">
      <c r="B42" s="9"/>
    </row>
    <row r="43" spans="1:7" x14ac:dyDescent="0.35">
      <c r="A43" s="6"/>
    </row>
    <row r="44" spans="1:7" x14ac:dyDescent="0.35">
      <c r="A44" s="5" t="s">
        <v>46</v>
      </c>
      <c r="B44" s="43"/>
      <c r="C44" s="44"/>
      <c r="D44" s="43"/>
      <c r="E44" s="44"/>
      <c r="F44" s="43"/>
      <c r="G44" s="44"/>
    </row>
    <row r="45" spans="1:7" x14ac:dyDescent="0.35">
      <c r="B45" s="10"/>
      <c r="C45" s="10"/>
      <c r="D45" s="10"/>
      <c r="E45" s="10"/>
      <c r="F45" s="10"/>
      <c r="G45" s="10"/>
    </row>
    <row r="46" spans="1:7" x14ac:dyDescent="0.35">
      <c r="A46" s="1" t="s">
        <v>47</v>
      </c>
      <c r="B46" s="11" t="s">
        <v>48</v>
      </c>
      <c r="C46" s="11" t="s">
        <v>49</v>
      </c>
      <c r="D46" s="11" t="s">
        <v>50</v>
      </c>
      <c r="E46" s="11"/>
      <c r="F46" s="10"/>
      <c r="G46" s="10"/>
    </row>
    <row r="47" spans="1:7" x14ac:dyDescent="0.35">
      <c r="A47" s="12" t="s">
        <v>51</v>
      </c>
      <c r="B47" s="13" t="s">
        <v>52</v>
      </c>
      <c r="C47" s="14" t="s">
        <v>53</v>
      </c>
      <c r="D47" s="14" t="s">
        <v>54</v>
      </c>
      <c r="E47" s="11"/>
      <c r="F47" s="10"/>
      <c r="G47" s="10"/>
    </row>
  </sheetData>
  <mergeCells count="3">
    <mergeCell ref="B44:C44"/>
    <mergeCell ref="D44:E44"/>
    <mergeCell ref="F44:G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4"/>
  <sheetViews>
    <sheetView workbookViewId="0">
      <selection activeCell="B1" sqref="B1"/>
    </sheetView>
  </sheetViews>
  <sheetFormatPr baseColWidth="10" defaultColWidth="14.453125" defaultRowHeight="15" customHeight="1" x14ac:dyDescent="0.35"/>
  <cols>
    <col min="1" max="1" width="45" customWidth="1"/>
    <col min="2" max="6" width="18" customWidth="1"/>
    <col min="7" max="26" width="8.7265625" customWidth="1"/>
  </cols>
  <sheetData>
    <row r="1" spans="1:5" ht="14.5" x14ac:dyDescent="0.35">
      <c r="A1" s="15" t="s">
        <v>7</v>
      </c>
      <c r="B1" s="46" t="s">
        <v>220</v>
      </c>
    </row>
    <row r="2" spans="1:5" ht="72.5" x14ac:dyDescent="0.35">
      <c r="A2" s="16" t="s">
        <v>55</v>
      </c>
    </row>
    <row r="3" spans="1:5" ht="14.5" x14ac:dyDescent="0.35">
      <c r="A3" s="5" t="s">
        <v>56</v>
      </c>
      <c r="B3" s="5">
        <v>20000000</v>
      </c>
      <c r="C3" s="5">
        <v>20000000</v>
      </c>
      <c r="D3" s="5">
        <v>20000000</v>
      </c>
      <c r="E3" s="5">
        <v>40000000</v>
      </c>
    </row>
    <row r="4" spans="1:5" ht="14.5" x14ac:dyDescent="0.35">
      <c r="A4" s="6"/>
      <c r="B4" s="17"/>
      <c r="C4" s="6"/>
      <c r="D4" s="6"/>
      <c r="E4" s="6"/>
    </row>
    <row r="5" spans="1:5" ht="14.5" x14ac:dyDescent="0.35">
      <c r="A5" s="6" t="s">
        <v>14</v>
      </c>
      <c r="B5" s="17">
        <v>2021</v>
      </c>
      <c r="C5" s="6">
        <v>2022</v>
      </c>
      <c r="D5" s="6">
        <v>2023</v>
      </c>
      <c r="E5" s="6">
        <v>2024</v>
      </c>
    </row>
    <row r="6" spans="1:5" ht="14.5" x14ac:dyDescent="0.35">
      <c r="A6" s="5" t="s">
        <v>15</v>
      </c>
      <c r="B6" s="5">
        <v>13618</v>
      </c>
      <c r="C6" s="5">
        <v>13764</v>
      </c>
      <c r="D6" s="5">
        <v>13034</v>
      </c>
      <c r="E6" s="5">
        <v>12032</v>
      </c>
    </row>
    <row r="7" spans="1:5" ht="14.5" x14ac:dyDescent="0.35">
      <c r="A7" s="5" t="s">
        <v>16</v>
      </c>
      <c r="B7" s="5">
        <v>299695</v>
      </c>
      <c r="C7" s="5">
        <v>383971</v>
      </c>
      <c r="D7" s="5">
        <v>453494</v>
      </c>
      <c r="E7" s="5">
        <v>432069</v>
      </c>
    </row>
    <row r="8" spans="1:5" ht="14.5" x14ac:dyDescent="0.35">
      <c r="A8" s="5" t="s">
        <v>3</v>
      </c>
      <c r="B8" s="5">
        <v>544900</v>
      </c>
      <c r="C8" s="5">
        <v>639951</v>
      </c>
      <c r="D8" s="5">
        <v>708584</v>
      </c>
      <c r="E8" s="5">
        <v>864138</v>
      </c>
    </row>
    <row r="9" spans="1:5" ht="14.5" x14ac:dyDescent="0.35">
      <c r="A9" s="5" t="s">
        <v>17</v>
      </c>
      <c r="B9" s="5">
        <v>69968</v>
      </c>
      <c r="C9" s="5">
        <v>81726</v>
      </c>
      <c r="D9" s="5">
        <v>95801</v>
      </c>
      <c r="E9" s="5">
        <v>112644</v>
      </c>
    </row>
    <row r="10" spans="1:5" ht="14.5" x14ac:dyDescent="0.35">
      <c r="A10" s="5" t="s">
        <v>18</v>
      </c>
      <c r="B10" s="18">
        <v>630245</v>
      </c>
      <c r="C10" s="18">
        <v>742733</v>
      </c>
      <c r="D10" s="18">
        <v>818947</v>
      </c>
      <c r="E10" s="18">
        <v>932574</v>
      </c>
    </row>
    <row r="11" spans="1:5" ht="14.5" x14ac:dyDescent="0.35">
      <c r="A11" s="5" t="s">
        <v>2</v>
      </c>
      <c r="B11" s="18">
        <v>714509</v>
      </c>
      <c r="C11" s="18">
        <v>843300</v>
      </c>
      <c r="D11" s="18">
        <v>938739</v>
      </c>
      <c r="E11" s="18">
        <v>1075479</v>
      </c>
    </row>
    <row r="12" spans="1:5" ht="14.5" x14ac:dyDescent="0.35">
      <c r="A12" s="5" t="s">
        <v>19</v>
      </c>
      <c r="B12" s="18">
        <v>41545</v>
      </c>
      <c r="C12" s="18">
        <v>47810</v>
      </c>
      <c r="D12" s="18">
        <v>60811</v>
      </c>
      <c r="E12" s="18">
        <v>72724</v>
      </c>
    </row>
    <row r="13" spans="1:5" ht="14.5" x14ac:dyDescent="0.35">
      <c r="A13" s="5" t="s">
        <v>20</v>
      </c>
      <c r="B13" s="18">
        <v>19862</v>
      </c>
      <c r="C13" s="18">
        <v>21900</v>
      </c>
      <c r="D13" s="18">
        <v>31018</v>
      </c>
      <c r="E13" s="18">
        <v>39222</v>
      </c>
    </row>
    <row r="14" spans="1:5" ht="14.5" x14ac:dyDescent="0.35">
      <c r="A14" s="5" t="s">
        <v>21</v>
      </c>
      <c r="B14" s="18">
        <v>19904</v>
      </c>
      <c r="C14" s="18">
        <v>24637</v>
      </c>
      <c r="D14" s="18">
        <v>35842</v>
      </c>
      <c r="E14" s="18">
        <v>46014</v>
      </c>
    </row>
    <row r="15" spans="1:5" ht="14.5" x14ac:dyDescent="0.35">
      <c r="A15" s="5" t="s">
        <v>22</v>
      </c>
      <c r="B15" s="18">
        <v>17546</v>
      </c>
      <c r="C15" s="18">
        <v>21829</v>
      </c>
      <c r="D15" s="18">
        <v>30675</v>
      </c>
      <c r="E15" s="18">
        <v>39261</v>
      </c>
    </row>
    <row r="16" spans="1:5" ht="14.5" x14ac:dyDescent="0.35">
      <c r="A16" s="5" t="s">
        <v>23</v>
      </c>
      <c r="B16" s="18">
        <v>16638</v>
      </c>
      <c r="C16" s="18">
        <v>20069</v>
      </c>
      <c r="D16" s="18">
        <v>26075</v>
      </c>
      <c r="E16" s="18">
        <v>32044</v>
      </c>
    </row>
    <row r="17" spans="1:8" ht="14.5" x14ac:dyDescent="0.35">
      <c r="A17" s="5" t="s">
        <v>24</v>
      </c>
      <c r="B17" s="5">
        <v>7.04</v>
      </c>
      <c r="C17" s="5">
        <v>3.69</v>
      </c>
      <c r="D17" s="5">
        <v>5.29</v>
      </c>
      <c r="E17" s="5">
        <v>6.24</v>
      </c>
    </row>
    <row r="18" spans="1:8" ht="14.5" x14ac:dyDescent="0.35">
      <c r="A18" s="5" t="s">
        <v>26</v>
      </c>
      <c r="B18" s="5">
        <v>374</v>
      </c>
      <c r="C18" s="5">
        <v>540</v>
      </c>
      <c r="D18" s="5">
        <v>684</v>
      </c>
      <c r="E18" s="5">
        <v>459</v>
      </c>
    </row>
    <row r="19" spans="1:8" ht="14.5" x14ac:dyDescent="0.35">
      <c r="A19" s="5" t="s">
        <v>27</v>
      </c>
      <c r="B19" s="5">
        <v>42</v>
      </c>
      <c r="C19" s="5">
        <v>2737</v>
      </c>
      <c r="D19" s="5">
        <v>4824</v>
      </c>
      <c r="E19" s="5">
        <v>6792</v>
      </c>
    </row>
    <row r="20" spans="1:8" ht="14.5" x14ac:dyDescent="0.35">
      <c r="A20" s="5" t="s">
        <v>28</v>
      </c>
      <c r="B20" s="5">
        <v>5855</v>
      </c>
      <c r="C20" s="5">
        <v>3700</v>
      </c>
      <c r="D20" s="5">
        <v>6895</v>
      </c>
      <c r="E20" s="5">
        <v>4995</v>
      </c>
    </row>
    <row r="21" spans="1:8" ht="14.5" x14ac:dyDescent="0.35">
      <c r="A21" s="5" t="s">
        <v>6</v>
      </c>
      <c r="B21" s="19"/>
      <c r="C21" s="19"/>
      <c r="D21" s="19"/>
      <c r="E21" s="19"/>
    </row>
    <row r="22" spans="1:8" ht="14.5" x14ac:dyDescent="0.35">
      <c r="A22" s="5" t="s">
        <v>29</v>
      </c>
      <c r="B22" s="20">
        <v>8311.11</v>
      </c>
      <c r="C22" s="21">
        <v>12000</v>
      </c>
      <c r="D22" s="21">
        <v>15200</v>
      </c>
      <c r="E22" s="21">
        <v>20844.439999999999</v>
      </c>
    </row>
    <row r="23" spans="1:8" ht="15.75" customHeight="1" x14ac:dyDescent="0.35">
      <c r="A23" s="22"/>
    </row>
    <row r="24" spans="1:8" ht="15.75" customHeight="1" x14ac:dyDescent="0.35">
      <c r="D24" s="6"/>
      <c r="E24" s="6"/>
      <c r="F24" s="6"/>
      <c r="G24" s="6"/>
      <c r="H24" s="6"/>
    </row>
    <row r="25" spans="1:8" ht="15.75" customHeight="1" x14ac:dyDescent="0.35">
      <c r="A25" s="5" t="s">
        <v>57</v>
      </c>
    </row>
    <row r="26" spans="1:8" ht="15.75" customHeight="1" x14ac:dyDescent="0.35">
      <c r="A26" s="6" t="s">
        <v>30</v>
      </c>
      <c r="B26" s="6" t="s">
        <v>31</v>
      </c>
    </row>
    <row r="27" spans="1:8" ht="15.75" customHeight="1" x14ac:dyDescent="0.35">
      <c r="A27" s="5" t="s">
        <v>58</v>
      </c>
      <c r="B27" s="8">
        <v>0.69179999999999997</v>
      </c>
    </row>
    <row r="28" spans="1:8" ht="15.75" customHeight="1" x14ac:dyDescent="0.35">
      <c r="A28" s="5" t="s">
        <v>38</v>
      </c>
      <c r="B28" s="8">
        <v>0.16270000000000001</v>
      </c>
    </row>
    <row r="29" spans="1:8" ht="15.75" customHeight="1" x14ac:dyDescent="0.35">
      <c r="A29" s="5" t="s">
        <v>59</v>
      </c>
      <c r="B29" s="8">
        <v>5.67E-2</v>
      </c>
    </row>
    <row r="30" spans="1:8" ht="15.75" customHeight="1" x14ac:dyDescent="0.35">
      <c r="A30" s="5" t="s">
        <v>60</v>
      </c>
      <c r="B30" s="8">
        <v>3.2000000000000001E-2</v>
      </c>
    </row>
    <row r="31" spans="1:8" ht="15.75" customHeight="1" x14ac:dyDescent="0.35">
      <c r="A31" s="5" t="s">
        <v>61</v>
      </c>
      <c r="B31" s="8">
        <v>2.1700000000000001E-2</v>
      </c>
    </row>
    <row r="32" spans="1:8" ht="15.75" customHeight="1" x14ac:dyDescent="0.35">
      <c r="A32" s="5" t="s">
        <v>62</v>
      </c>
      <c r="B32" s="8">
        <v>8.2000000000000007E-3</v>
      </c>
    </row>
    <row r="33" spans="1:5" ht="15.75" customHeight="1" x14ac:dyDescent="0.35">
      <c r="A33" s="5" t="s">
        <v>63</v>
      </c>
      <c r="B33" s="8">
        <v>7.9000000000000008E-3</v>
      </c>
    </row>
    <row r="34" spans="1:5" ht="15.75" customHeight="1" x14ac:dyDescent="0.35">
      <c r="A34" s="5" t="s">
        <v>64</v>
      </c>
      <c r="B34" s="8">
        <v>4.5999999999999999E-3</v>
      </c>
    </row>
    <row r="35" spans="1:5" ht="15.75" customHeight="1" x14ac:dyDescent="0.35">
      <c r="A35" s="5" t="s">
        <v>65</v>
      </c>
      <c r="B35" s="8">
        <v>4.4000000000000003E-3</v>
      </c>
    </row>
    <row r="36" spans="1:5" ht="15.75" customHeight="1" x14ac:dyDescent="0.35">
      <c r="A36" s="5" t="s">
        <v>66</v>
      </c>
      <c r="B36" s="8">
        <v>4.0000000000000001E-3</v>
      </c>
    </row>
    <row r="37" spans="1:5" ht="15.75" customHeight="1" x14ac:dyDescent="0.35">
      <c r="A37" s="5" t="s">
        <v>37</v>
      </c>
      <c r="B37" s="8">
        <v>3.3E-3</v>
      </c>
    </row>
    <row r="38" spans="1:5" ht="15.75" customHeight="1" x14ac:dyDescent="0.35">
      <c r="A38" s="5" t="s">
        <v>67</v>
      </c>
      <c r="B38" s="8">
        <v>1.2999999999999999E-3</v>
      </c>
    </row>
    <row r="39" spans="1:5" ht="15.75" customHeight="1" x14ac:dyDescent="0.35"/>
    <row r="40" spans="1:5" ht="15.75" customHeight="1" x14ac:dyDescent="0.35">
      <c r="A40" s="5" t="s">
        <v>46</v>
      </c>
    </row>
    <row r="41" spans="1:5" ht="15.75" customHeight="1" x14ac:dyDescent="0.35"/>
    <row r="42" spans="1:5" ht="15.75" customHeight="1" x14ac:dyDescent="0.35">
      <c r="A42" s="1" t="s">
        <v>47</v>
      </c>
      <c r="B42" s="1" t="s">
        <v>48</v>
      </c>
      <c r="C42" s="1" t="s">
        <v>49</v>
      </c>
      <c r="D42" s="1" t="s">
        <v>50</v>
      </c>
      <c r="E42" s="1"/>
    </row>
    <row r="43" spans="1:5" ht="15.75" customHeight="1" x14ac:dyDescent="0.35">
      <c r="A43" s="23" t="s">
        <v>68</v>
      </c>
      <c r="B43" s="24" t="s">
        <v>69</v>
      </c>
      <c r="C43" s="23" t="s">
        <v>70</v>
      </c>
      <c r="D43" s="23" t="s">
        <v>71</v>
      </c>
      <c r="E43" s="1"/>
    </row>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0"/>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221</v>
      </c>
    </row>
    <row r="2" spans="1:5" ht="87" x14ac:dyDescent="0.35">
      <c r="A2" s="16" t="s">
        <v>72</v>
      </c>
    </row>
    <row r="4" spans="1:5" ht="14.5" x14ac:dyDescent="0.35">
      <c r="A4" s="15" t="s">
        <v>9</v>
      </c>
      <c r="B4" s="19">
        <f t="shared" ref="B4:D4" si="0">(15450000000/1000)+2850000</f>
        <v>18300000</v>
      </c>
      <c r="C4" s="19">
        <f t="shared" si="0"/>
        <v>18300000</v>
      </c>
      <c r="D4" s="19">
        <f t="shared" si="0"/>
        <v>18300000</v>
      </c>
      <c r="E4" s="25">
        <f>18300000+9150000</f>
        <v>27450000</v>
      </c>
    </row>
    <row r="6" spans="1:5" ht="14.5" x14ac:dyDescent="0.35">
      <c r="A6" s="6" t="s">
        <v>14</v>
      </c>
      <c r="B6" s="6">
        <v>2021</v>
      </c>
      <c r="C6" s="6">
        <v>2022</v>
      </c>
      <c r="D6" s="6">
        <v>2023</v>
      </c>
      <c r="E6" s="6">
        <v>2024</v>
      </c>
    </row>
    <row r="7" spans="1:5" ht="14.5" x14ac:dyDescent="0.35">
      <c r="A7" s="5" t="s">
        <v>15</v>
      </c>
      <c r="B7" s="5">
        <v>39253</v>
      </c>
      <c r="C7" s="5">
        <v>20634</v>
      </c>
      <c r="D7" s="5">
        <v>23432</v>
      </c>
      <c r="E7" s="5">
        <v>24072</v>
      </c>
    </row>
    <row r="8" spans="1:5" ht="14.5" x14ac:dyDescent="0.35">
      <c r="A8" s="5" t="s">
        <v>16</v>
      </c>
      <c r="B8" s="5">
        <v>262274</v>
      </c>
      <c r="C8" s="5">
        <v>268945</v>
      </c>
      <c r="D8" s="5">
        <v>260199</v>
      </c>
      <c r="E8" s="5">
        <v>276168</v>
      </c>
    </row>
    <row r="9" spans="1:5" ht="14.5" x14ac:dyDescent="0.35">
      <c r="A9" s="5" t="s">
        <v>3</v>
      </c>
      <c r="B9" s="18">
        <v>460130</v>
      </c>
      <c r="C9" s="18">
        <v>426897</v>
      </c>
      <c r="D9" s="18">
        <v>413015</v>
      </c>
      <c r="E9" s="18">
        <v>418437</v>
      </c>
    </row>
    <row r="10" spans="1:5" ht="14.5" x14ac:dyDescent="0.35">
      <c r="A10" s="5" t="s">
        <v>17</v>
      </c>
      <c r="B10" s="18">
        <v>32186</v>
      </c>
      <c r="C10" s="18">
        <v>34542</v>
      </c>
      <c r="D10" s="18">
        <v>40197</v>
      </c>
      <c r="E10" s="18">
        <v>46195</v>
      </c>
    </row>
    <row r="11" spans="1:5" ht="14.5" x14ac:dyDescent="0.35">
      <c r="A11" s="5" t="s">
        <v>18</v>
      </c>
      <c r="B11" s="18">
        <v>507723</v>
      </c>
      <c r="C11" s="18">
        <v>521709</v>
      </c>
      <c r="D11" s="18">
        <v>500298</v>
      </c>
      <c r="E11" s="18">
        <v>474928</v>
      </c>
    </row>
    <row r="12" spans="1:5" ht="14.5" x14ac:dyDescent="0.35">
      <c r="A12" s="5" t="s">
        <v>2</v>
      </c>
      <c r="B12" s="18">
        <v>581464</v>
      </c>
      <c r="C12" s="18">
        <v>576751</v>
      </c>
      <c r="D12" s="18">
        <v>560353</v>
      </c>
      <c r="E12" s="18">
        <v>541491</v>
      </c>
    </row>
    <row r="13" spans="1:5" ht="14.5" x14ac:dyDescent="0.35">
      <c r="A13" s="5" t="s">
        <v>19</v>
      </c>
      <c r="B13" s="18">
        <v>35408</v>
      </c>
      <c r="C13" s="18">
        <v>35307</v>
      </c>
      <c r="D13" s="18">
        <v>35519</v>
      </c>
      <c r="E13" s="18">
        <v>36159</v>
      </c>
    </row>
    <row r="14" spans="1:5" ht="14.5" x14ac:dyDescent="0.35">
      <c r="A14" s="5" t="s">
        <v>20</v>
      </c>
      <c r="B14" s="18">
        <v>1986</v>
      </c>
      <c r="C14" s="18">
        <v>1125</v>
      </c>
      <c r="D14" s="18">
        <v>6298</v>
      </c>
      <c r="E14" s="18">
        <v>8559</v>
      </c>
    </row>
    <row r="15" spans="1:5" ht="14.5" x14ac:dyDescent="0.35">
      <c r="A15" s="5" t="s">
        <v>21</v>
      </c>
      <c r="B15" s="18">
        <v>14186</v>
      </c>
      <c r="C15" s="18">
        <v>-8351</v>
      </c>
      <c r="D15" s="18">
        <v>12190</v>
      </c>
      <c r="E15" s="18">
        <v>15862</v>
      </c>
    </row>
    <row r="16" spans="1:5" ht="14.5" x14ac:dyDescent="0.35">
      <c r="A16" s="5" t="s">
        <v>22</v>
      </c>
      <c r="B16" s="5">
        <v>2415</v>
      </c>
      <c r="C16" s="5">
        <v>2860</v>
      </c>
      <c r="D16" s="5">
        <v>6101</v>
      </c>
      <c r="E16" s="5">
        <v>9469</v>
      </c>
    </row>
    <row r="17" spans="1:8" ht="14.5" x14ac:dyDescent="0.35">
      <c r="A17" s="5" t="s">
        <v>23</v>
      </c>
      <c r="B17" s="5">
        <v>2095</v>
      </c>
      <c r="C17" s="5">
        <v>2460</v>
      </c>
      <c r="D17" s="5">
        <v>5778</v>
      </c>
      <c r="E17" s="5">
        <v>9124</v>
      </c>
    </row>
    <row r="18" spans="1:8" ht="14.5" x14ac:dyDescent="0.35">
      <c r="A18" s="5" t="s">
        <v>24</v>
      </c>
      <c r="B18" s="5">
        <v>12.97</v>
      </c>
      <c r="C18" s="5">
        <v>10.41</v>
      </c>
      <c r="D18" s="5">
        <v>4.67</v>
      </c>
      <c r="E18" s="5">
        <v>5.69</v>
      </c>
    </row>
    <row r="19" spans="1:8" ht="14.5" x14ac:dyDescent="0.35">
      <c r="A19" s="5" t="s">
        <v>26</v>
      </c>
      <c r="B19" s="5">
        <v>271</v>
      </c>
      <c r="C19" s="5">
        <v>271</v>
      </c>
      <c r="D19" s="5">
        <v>144</v>
      </c>
      <c r="E19" s="5">
        <v>237.15</v>
      </c>
    </row>
    <row r="20" spans="1:8" ht="14.5" x14ac:dyDescent="0.35">
      <c r="A20" s="5" t="s">
        <v>27</v>
      </c>
      <c r="B20" s="18">
        <v>12200</v>
      </c>
      <c r="C20" s="18">
        <v>9476</v>
      </c>
      <c r="D20" s="18">
        <v>5892</v>
      </c>
      <c r="E20" s="18">
        <v>7303</v>
      </c>
    </row>
    <row r="21" spans="1:8" ht="15.75" customHeight="1" x14ac:dyDescent="0.35">
      <c r="A21" s="5" t="s">
        <v>28</v>
      </c>
      <c r="B21" s="5">
        <v>1485</v>
      </c>
      <c r="C21" s="5">
        <v>1400</v>
      </c>
      <c r="D21" s="5">
        <v>1475</v>
      </c>
      <c r="E21" s="5">
        <v>1890</v>
      </c>
    </row>
    <row r="22" spans="1:8" ht="15.75" customHeight="1" x14ac:dyDescent="0.35">
      <c r="A22" s="26" t="s">
        <v>6</v>
      </c>
      <c r="B22" s="19"/>
      <c r="C22" s="19"/>
      <c r="D22" s="19"/>
      <c r="E22" s="19"/>
    </row>
    <row r="23" spans="1:8" ht="15.75" customHeight="1" x14ac:dyDescent="0.35">
      <c r="A23" s="26" t="s">
        <v>29</v>
      </c>
      <c r="B23" s="19"/>
      <c r="C23" s="19"/>
      <c r="D23" s="18">
        <v>2837</v>
      </c>
      <c r="E23" s="20">
        <v>700000</v>
      </c>
    </row>
    <row r="24" spans="1:8" ht="15.75" customHeight="1" x14ac:dyDescent="0.35">
      <c r="A24" s="5" t="s">
        <v>57</v>
      </c>
    </row>
    <row r="25" spans="1:8" ht="15.75" customHeight="1" x14ac:dyDescent="0.35">
      <c r="D25" s="6"/>
      <c r="E25" s="6"/>
      <c r="F25" s="6"/>
      <c r="G25" s="6"/>
      <c r="H25" s="6"/>
    </row>
    <row r="26" spans="1:8" ht="15.75" customHeight="1" x14ac:dyDescent="0.35">
      <c r="A26" s="6" t="s">
        <v>30</v>
      </c>
      <c r="B26" s="6" t="s">
        <v>31</v>
      </c>
    </row>
    <row r="27" spans="1:8" ht="15.75" customHeight="1" x14ac:dyDescent="0.35">
      <c r="A27" s="5" t="s">
        <v>73</v>
      </c>
      <c r="B27" s="8">
        <v>0.6139</v>
      </c>
    </row>
    <row r="28" spans="1:8" ht="15.75" customHeight="1" x14ac:dyDescent="0.35">
      <c r="A28" s="5" t="s">
        <v>74</v>
      </c>
      <c r="B28" s="8">
        <v>0.17710000000000001</v>
      </c>
    </row>
    <row r="29" spans="1:8" ht="15.75" customHeight="1" x14ac:dyDescent="0.35">
      <c r="A29" s="5" t="s">
        <v>75</v>
      </c>
      <c r="B29" s="8">
        <v>0.1681</v>
      </c>
    </row>
    <row r="30" spans="1:8" ht="15.75" customHeight="1" x14ac:dyDescent="0.35">
      <c r="A30" s="5" t="s">
        <v>76</v>
      </c>
      <c r="B30" s="8">
        <v>2.07E-2</v>
      </c>
    </row>
    <row r="31" spans="1:8" ht="15.75" customHeight="1" x14ac:dyDescent="0.35">
      <c r="A31" s="5" t="s">
        <v>60</v>
      </c>
      <c r="B31" s="8">
        <v>2.06E-2</v>
      </c>
    </row>
    <row r="32" spans="1:8" ht="15.75" customHeight="1" x14ac:dyDescent="0.35"/>
    <row r="33" spans="1:5" ht="15.75" customHeight="1" x14ac:dyDescent="0.35">
      <c r="A33" s="5" t="s">
        <v>46</v>
      </c>
    </row>
    <row r="34" spans="1:5" ht="15.75" customHeight="1" x14ac:dyDescent="0.35"/>
    <row r="35" spans="1:5" ht="15.75" customHeight="1" x14ac:dyDescent="0.35">
      <c r="A35" s="1" t="s">
        <v>47</v>
      </c>
      <c r="B35" s="1" t="s">
        <v>48</v>
      </c>
      <c r="C35" s="1" t="s">
        <v>49</v>
      </c>
      <c r="D35" s="1" t="s">
        <v>50</v>
      </c>
      <c r="E35" s="1"/>
    </row>
    <row r="36" spans="1:5" ht="15.75" customHeight="1" x14ac:dyDescent="0.35">
      <c r="A36" s="23" t="s">
        <v>77</v>
      </c>
      <c r="B36" s="24" t="s">
        <v>78</v>
      </c>
      <c r="C36" s="23" t="s">
        <v>79</v>
      </c>
      <c r="D36" s="23" t="s">
        <v>71</v>
      </c>
      <c r="E36" s="1"/>
    </row>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59"/>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222</v>
      </c>
    </row>
    <row r="2" spans="1:5" ht="58" x14ac:dyDescent="0.35">
      <c r="A2" s="16" t="s">
        <v>80</v>
      </c>
    </row>
    <row r="4" spans="1:5" ht="14.5" x14ac:dyDescent="0.35">
      <c r="A4" s="15" t="s">
        <v>9</v>
      </c>
      <c r="B4" s="27">
        <v>20280524</v>
      </c>
      <c r="C4" s="27">
        <v>20280524</v>
      </c>
      <c r="D4" s="27">
        <v>20280524</v>
      </c>
      <c r="E4" s="19">
        <v>40561048</v>
      </c>
    </row>
    <row r="6" spans="1:5" ht="14.5" x14ac:dyDescent="0.35">
      <c r="A6" s="6" t="s">
        <v>14</v>
      </c>
      <c r="B6" s="6">
        <v>2021</v>
      </c>
      <c r="C6" s="6">
        <v>2022</v>
      </c>
      <c r="D6" s="6">
        <v>2023</v>
      </c>
      <c r="E6" s="6">
        <v>2024</v>
      </c>
    </row>
    <row r="7" spans="1:5" ht="14.5" x14ac:dyDescent="0.35">
      <c r="A7" s="5" t="s">
        <v>15</v>
      </c>
      <c r="B7" s="5">
        <v>28986</v>
      </c>
      <c r="C7" s="5">
        <v>30508</v>
      </c>
      <c r="D7" s="5">
        <v>34085</v>
      </c>
      <c r="E7" s="5">
        <v>32820</v>
      </c>
    </row>
    <row r="8" spans="1:5" ht="14.5" x14ac:dyDescent="0.35">
      <c r="A8" s="5" t="s">
        <v>16</v>
      </c>
      <c r="B8" s="5">
        <v>395862</v>
      </c>
      <c r="C8" s="5">
        <v>387381</v>
      </c>
      <c r="D8" s="5">
        <v>401276</v>
      </c>
      <c r="E8" s="5">
        <v>408396</v>
      </c>
    </row>
    <row r="9" spans="1:5" ht="14.5" x14ac:dyDescent="0.35">
      <c r="A9" s="5" t="s">
        <v>3</v>
      </c>
      <c r="B9" s="18">
        <v>648954</v>
      </c>
      <c r="C9" s="18">
        <v>645635</v>
      </c>
      <c r="D9" s="18">
        <v>647219</v>
      </c>
      <c r="E9" s="18">
        <v>729279</v>
      </c>
    </row>
    <row r="10" spans="1:5" ht="14.5" x14ac:dyDescent="0.35">
      <c r="A10" s="5" t="s">
        <v>17</v>
      </c>
      <c r="B10" s="18">
        <v>97192</v>
      </c>
      <c r="C10" s="18">
        <v>104674</v>
      </c>
      <c r="D10" s="18">
        <v>112817</v>
      </c>
      <c r="E10" s="18">
        <v>117396</v>
      </c>
    </row>
    <row r="11" spans="1:5" ht="14.5" x14ac:dyDescent="0.35">
      <c r="A11" s="5" t="s">
        <v>18</v>
      </c>
      <c r="B11" s="18">
        <v>767409</v>
      </c>
      <c r="C11" s="18">
        <v>783366</v>
      </c>
      <c r="D11" s="18">
        <v>773600</v>
      </c>
      <c r="E11" s="18">
        <v>804801</v>
      </c>
    </row>
    <row r="12" spans="1:5" ht="14.5" x14ac:dyDescent="0.35">
      <c r="A12" s="5" t="s">
        <v>2</v>
      </c>
      <c r="B12" s="18">
        <v>884426</v>
      </c>
      <c r="C12" s="18">
        <v>907782</v>
      </c>
      <c r="D12" s="18">
        <v>906824</v>
      </c>
      <c r="E12" s="18">
        <v>940186</v>
      </c>
    </row>
    <row r="13" spans="1:5" ht="14.5" x14ac:dyDescent="0.35">
      <c r="A13" s="5" t="s">
        <v>19</v>
      </c>
      <c r="B13" s="18">
        <v>45259</v>
      </c>
      <c r="C13" s="18">
        <v>46413</v>
      </c>
      <c r="D13" s="18">
        <v>47832</v>
      </c>
      <c r="E13" s="18">
        <v>46527</v>
      </c>
    </row>
    <row r="14" spans="1:5" ht="14.5" x14ac:dyDescent="0.35">
      <c r="A14" s="5" t="s">
        <v>20</v>
      </c>
      <c r="B14" s="18">
        <v>19184</v>
      </c>
      <c r="C14" s="18">
        <v>15861</v>
      </c>
      <c r="D14" s="18">
        <v>23013</v>
      </c>
      <c r="E14" s="18">
        <v>21456</v>
      </c>
    </row>
    <row r="15" spans="1:5" ht="14.5" x14ac:dyDescent="0.35">
      <c r="A15" s="5" t="s">
        <v>21</v>
      </c>
      <c r="B15" s="18">
        <v>19795</v>
      </c>
      <c r="C15" s="18">
        <v>19529</v>
      </c>
      <c r="D15" s="18">
        <v>22307</v>
      </c>
      <c r="E15" s="18">
        <v>21580</v>
      </c>
    </row>
    <row r="16" spans="1:5" ht="14.5" x14ac:dyDescent="0.35">
      <c r="A16" s="5" t="s">
        <v>22</v>
      </c>
      <c r="B16" s="5">
        <v>16706</v>
      </c>
      <c r="C16" s="5">
        <v>14875</v>
      </c>
      <c r="D16" s="5">
        <v>24074</v>
      </c>
      <c r="E16" s="5">
        <v>21919</v>
      </c>
    </row>
    <row r="17" spans="1:12" ht="14.5" x14ac:dyDescent="0.35">
      <c r="A17" s="5" t="s">
        <v>23</v>
      </c>
      <c r="B17" s="5">
        <v>15441</v>
      </c>
      <c r="C17" s="5">
        <v>11807</v>
      </c>
      <c r="D17" s="5">
        <v>21528</v>
      </c>
      <c r="E17" s="5">
        <v>19648</v>
      </c>
    </row>
    <row r="18" spans="1:12" ht="14.5" x14ac:dyDescent="0.35">
      <c r="A18" s="5" t="s">
        <v>24</v>
      </c>
      <c r="B18" s="5">
        <v>6.96</v>
      </c>
      <c r="C18" s="5">
        <v>10.220000000000001</v>
      </c>
      <c r="D18" s="5">
        <v>7.12</v>
      </c>
      <c r="E18" s="5">
        <v>8.9</v>
      </c>
    </row>
    <row r="19" spans="1:12" ht="14.5" x14ac:dyDescent="0.35">
      <c r="A19" s="5" t="s">
        <v>26</v>
      </c>
      <c r="B19" s="5">
        <v>546</v>
      </c>
      <c r="C19" s="5">
        <v>627</v>
      </c>
      <c r="D19" s="5">
        <v>706</v>
      </c>
      <c r="E19" s="5">
        <v>468</v>
      </c>
    </row>
    <row r="20" spans="1:12" ht="14.5" x14ac:dyDescent="0.35">
      <c r="A20" s="5" t="s">
        <v>27</v>
      </c>
      <c r="B20" s="18">
        <v>611</v>
      </c>
      <c r="C20" s="18">
        <v>3668</v>
      </c>
      <c r="D20" s="18">
        <v>706</v>
      </c>
      <c r="E20" s="18">
        <v>124</v>
      </c>
      <c r="H20" s="6"/>
      <c r="I20" s="6"/>
      <c r="J20" s="6"/>
      <c r="K20" s="6"/>
      <c r="L20" s="6"/>
    </row>
    <row r="21" spans="1:12" ht="15.75" customHeight="1" x14ac:dyDescent="0.35">
      <c r="A21" s="5" t="s">
        <v>28</v>
      </c>
      <c r="B21" s="5">
        <v>5300</v>
      </c>
      <c r="C21" s="5">
        <v>5950</v>
      </c>
      <c r="D21" s="5">
        <v>6360</v>
      </c>
      <c r="E21" s="5">
        <v>3685</v>
      </c>
    </row>
    <row r="22" spans="1:12" ht="15.75" customHeight="1" x14ac:dyDescent="0.35">
      <c r="A22" s="26" t="s">
        <v>6</v>
      </c>
    </row>
    <row r="23" spans="1:12" ht="15.75" customHeight="1" x14ac:dyDescent="0.35">
      <c r="A23" s="5" t="s">
        <v>29</v>
      </c>
      <c r="B23" s="5">
        <v>11661</v>
      </c>
      <c r="C23" s="5">
        <v>13385</v>
      </c>
      <c r="D23" s="5">
        <v>15068</v>
      </c>
      <c r="E23" s="5">
        <v>19997</v>
      </c>
    </row>
    <row r="24" spans="1:12" ht="15.75" customHeight="1" x14ac:dyDescent="0.35"/>
    <row r="25" spans="1:12" ht="15.75" customHeight="1" x14ac:dyDescent="0.35"/>
    <row r="26" spans="1:12" ht="15.75" customHeight="1" x14ac:dyDescent="0.35">
      <c r="A26" s="6" t="s">
        <v>30</v>
      </c>
      <c r="B26" s="6" t="s">
        <v>31</v>
      </c>
      <c r="D26" s="6"/>
      <c r="E26" s="6"/>
      <c r="F26" s="6"/>
      <c r="G26" s="6"/>
      <c r="H26" s="6"/>
    </row>
    <row r="27" spans="1:12" ht="15.75" customHeight="1" x14ac:dyDescent="0.35">
      <c r="A27" s="5" t="s">
        <v>58</v>
      </c>
      <c r="B27" s="8">
        <v>0.54110000000000003</v>
      </c>
    </row>
    <row r="28" spans="1:12" ht="15.75" customHeight="1" x14ac:dyDescent="0.35">
      <c r="A28" s="5" t="s">
        <v>59</v>
      </c>
      <c r="B28" s="8">
        <v>0.43309999999999998</v>
      </c>
    </row>
    <row r="29" spans="1:12" ht="15.75" customHeight="1" x14ac:dyDescent="0.35">
      <c r="A29" s="5" t="s">
        <v>81</v>
      </c>
      <c r="B29" s="8">
        <v>2.3400000000000001E-2</v>
      </c>
    </row>
    <row r="30" spans="1:12" ht="15.75" customHeight="1" x14ac:dyDescent="0.35">
      <c r="A30" s="5" t="s">
        <v>60</v>
      </c>
      <c r="B30" s="8">
        <v>2.3999999999999998E-3</v>
      </c>
    </row>
    <row r="31" spans="1:12" ht="15.75" customHeight="1" x14ac:dyDescent="0.35"/>
    <row r="32" spans="1:12" ht="15.75" customHeight="1" x14ac:dyDescent="0.35">
      <c r="A32" s="5" t="s">
        <v>82</v>
      </c>
    </row>
    <row r="33" spans="1:4" ht="15.75" customHeight="1" x14ac:dyDescent="0.35"/>
    <row r="34" spans="1:4" ht="15.75" customHeight="1" x14ac:dyDescent="0.35">
      <c r="A34" s="1" t="s">
        <v>47</v>
      </c>
      <c r="B34" s="1" t="s">
        <v>48</v>
      </c>
      <c r="C34" s="1" t="s">
        <v>49</v>
      </c>
      <c r="D34" s="1" t="s">
        <v>50</v>
      </c>
    </row>
    <row r="35" spans="1:4" ht="15.75" customHeight="1" x14ac:dyDescent="0.35">
      <c r="A35" s="23" t="s">
        <v>83</v>
      </c>
      <c r="B35" s="24" t="s">
        <v>84</v>
      </c>
      <c r="C35" s="23" t="s">
        <v>85</v>
      </c>
      <c r="D35" s="23" t="s">
        <v>86</v>
      </c>
    </row>
    <row r="36" spans="1:4" ht="15.75" customHeight="1" x14ac:dyDescent="0.35"/>
    <row r="37" spans="1:4" ht="15.75" customHeight="1" x14ac:dyDescent="0.35"/>
    <row r="38" spans="1:4" ht="15.75" customHeight="1" x14ac:dyDescent="0.35"/>
    <row r="39" spans="1:4" ht="15.75" customHeight="1" x14ac:dyDescent="0.35"/>
    <row r="40" spans="1:4" ht="15.75" customHeight="1" x14ac:dyDescent="0.35"/>
    <row r="41" spans="1:4" ht="15.75" customHeight="1" x14ac:dyDescent="0.35"/>
    <row r="42" spans="1:4" ht="15.75" customHeight="1" x14ac:dyDescent="0.35"/>
    <row r="43" spans="1:4" ht="15.75" customHeight="1" x14ac:dyDescent="0.35"/>
    <row r="44" spans="1:4" ht="15.75" customHeight="1" x14ac:dyDescent="0.35"/>
    <row r="45" spans="1:4" ht="15.75" customHeight="1" x14ac:dyDescent="0.35"/>
    <row r="46" spans="1:4" ht="15.75" customHeight="1" x14ac:dyDescent="0.35"/>
    <row r="47" spans="1:4" ht="15.75" customHeight="1" x14ac:dyDescent="0.35"/>
    <row r="48" spans="1:4"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1"/>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223</v>
      </c>
    </row>
    <row r="2" spans="1:5" ht="72.5" x14ac:dyDescent="0.35">
      <c r="A2" s="16" t="s">
        <v>87</v>
      </c>
    </row>
    <row r="3" spans="1:5" ht="14.5" x14ac:dyDescent="0.35">
      <c r="A3" s="5" t="s">
        <v>9</v>
      </c>
      <c r="B3" s="27">
        <f t="shared" ref="B3:D3" si="0">36000000-12000000</f>
        <v>24000000</v>
      </c>
      <c r="C3" s="27">
        <f t="shared" si="0"/>
        <v>24000000</v>
      </c>
      <c r="D3" s="27">
        <f t="shared" si="0"/>
        <v>24000000</v>
      </c>
      <c r="E3" s="5">
        <v>36000000</v>
      </c>
    </row>
    <row r="4" spans="1:5" ht="14.5" x14ac:dyDescent="0.35">
      <c r="A4" s="6"/>
      <c r="B4" s="17"/>
      <c r="C4" s="6"/>
      <c r="D4" s="6"/>
      <c r="E4" s="6"/>
    </row>
    <row r="5" spans="1:5" ht="14.5" x14ac:dyDescent="0.35">
      <c r="A5" s="6" t="s">
        <v>14</v>
      </c>
      <c r="B5" s="17">
        <v>2021</v>
      </c>
      <c r="C5" s="6">
        <v>2022</v>
      </c>
      <c r="D5" s="6">
        <v>2023</v>
      </c>
      <c r="E5" s="6">
        <v>2024</v>
      </c>
    </row>
    <row r="6" spans="1:5" ht="14.5" x14ac:dyDescent="0.35">
      <c r="A6" s="5" t="s">
        <v>15</v>
      </c>
      <c r="B6" s="5">
        <v>24880</v>
      </c>
      <c r="C6" s="5">
        <v>27111</v>
      </c>
      <c r="D6" s="5">
        <v>26883</v>
      </c>
      <c r="E6" s="5">
        <v>25177</v>
      </c>
    </row>
    <row r="7" spans="1:5" ht="14.5" x14ac:dyDescent="0.35">
      <c r="A7" s="5" t="s">
        <v>16</v>
      </c>
      <c r="B7" s="5">
        <v>321621</v>
      </c>
      <c r="C7" s="5">
        <v>358939</v>
      </c>
      <c r="D7" s="5">
        <v>394012</v>
      </c>
      <c r="E7" s="5">
        <v>402460</v>
      </c>
    </row>
    <row r="8" spans="1:5" ht="14.5" x14ac:dyDescent="0.35">
      <c r="A8" s="5" t="s">
        <v>3</v>
      </c>
      <c r="B8" s="5">
        <v>445946</v>
      </c>
      <c r="C8" s="5">
        <v>546022</v>
      </c>
      <c r="D8" s="5">
        <v>575028</v>
      </c>
      <c r="E8" s="5">
        <v>585770</v>
      </c>
    </row>
    <row r="9" spans="1:5" ht="14.5" x14ac:dyDescent="0.35">
      <c r="A9" s="5" t="s">
        <v>17</v>
      </c>
      <c r="B9" s="5">
        <v>53327</v>
      </c>
      <c r="C9" s="5">
        <v>64615</v>
      </c>
      <c r="D9" s="5">
        <v>76637</v>
      </c>
      <c r="E9" s="5">
        <v>88621</v>
      </c>
    </row>
    <row r="10" spans="1:5" ht="14.5" x14ac:dyDescent="0.35">
      <c r="A10" s="5" t="s">
        <v>18</v>
      </c>
      <c r="B10" s="18">
        <v>554716</v>
      </c>
      <c r="C10" s="18">
        <v>610649</v>
      </c>
      <c r="D10" s="18">
        <v>657939</v>
      </c>
      <c r="E10" s="18">
        <v>677064</v>
      </c>
    </row>
    <row r="11" spans="1:5" ht="14.5" x14ac:dyDescent="0.35">
      <c r="A11" s="5" t="s">
        <v>2</v>
      </c>
      <c r="B11" s="18">
        <v>626289</v>
      </c>
      <c r="C11" s="18">
        <v>696306</v>
      </c>
      <c r="D11" s="18">
        <v>758048</v>
      </c>
      <c r="E11" s="18">
        <v>783173</v>
      </c>
    </row>
    <row r="12" spans="1:5" ht="14.5" x14ac:dyDescent="0.35">
      <c r="A12" s="5" t="s">
        <v>19</v>
      </c>
      <c r="B12" s="18">
        <v>35727</v>
      </c>
      <c r="C12" s="18">
        <v>40503</v>
      </c>
      <c r="D12" s="18">
        <v>45426</v>
      </c>
      <c r="E12" s="18">
        <v>49666</v>
      </c>
    </row>
    <row r="13" spans="1:5" ht="14.5" x14ac:dyDescent="0.35">
      <c r="A13" s="5" t="s">
        <v>20</v>
      </c>
      <c r="B13" s="18">
        <v>10833</v>
      </c>
      <c r="C13" s="18">
        <v>15719</v>
      </c>
      <c r="D13" s="18">
        <v>17904</v>
      </c>
      <c r="E13" s="18">
        <v>22673</v>
      </c>
    </row>
    <row r="14" spans="1:5" ht="14.5" x14ac:dyDescent="0.35">
      <c r="A14" s="5" t="s">
        <v>21</v>
      </c>
      <c r="B14" s="18">
        <v>17550</v>
      </c>
      <c r="C14" s="18">
        <v>21800</v>
      </c>
      <c r="D14" s="18">
        <v>21974</v>
      </c>
      <c r="E14" s="18">
        <v>27102</v>
      </c>
    </row>
    <row r="15" spans="1:5" ht="14.5" x14ac:dyDescent="0.35">
      <c r="A15" s="5" t="s">
        <v>22</v>
      </c>
      <c r="B15" s="18">
        <v>11076</v>
      </c>
      <c r="C15" s="18">
        <v>15720</v>
      </c>
      <c r="D15" s="18">
        <v>18927</v>
      </c>
      <c r="E15" s="18">
        <v>22888</v>
      </c>
    </row>
    <row r="16" spans="1:5" ht="14.5" x14ac:dyDescent="0.35">
      <c r="A16" s="5" t="s">
        <v>23</v>
      </c>
      <c r="B16" s="18">
        <v>11070</v>
      </c>
      <c r="C16" s="18">
        <v>15581</v>
      </c>
      <c r="D16" s="18">
        <v>17022</v>
      </c>
      <c r="E16" s="18">
        <v>19984</v>
      </c>
    </row>
    <row r="17" spans="1:8" ht="14.5" x14ac:dyDescent="0.35">
      <c r="A17" s="5" t="s">
        <v>24</v>
      </c>
      <c r="B17" s="5">
        <v>5.0999999999999996</v>
      </c>
      <c r="C17" s="5">
        <v>3.77</v>
      </c>
      <c r="D17" s="5">
        <v>4.51</v>
      </c>
      <c r="E17" s="5">
        <v>4.1100000000000003</v>
      </c>
    </row>
    <row r="18" spans="1:8" ht="14.5" x14ac:dyDescent="0.35">
      <c r="A18" s="5" t="s">
        <v>26</v>
      </c>
      <c r="B18" s="5">
        <v>161.01</v>
      </c>
      <c r="C18" s="5">
        <v>187.5</v>
      </c>
      <c r="D18" s="5">
        <v>300</v>
      </c>
      <c r="E18" s="5">
        <v>350</v>
      </c>
    </row>
    <row r="19" spans="1:8" ht="14.5" x14ac:dyDescent="0.35">
      <c r="A19" s="5" t="s">
        <v>27</v>
      </c>
      <c r="B19" s="5">
        <v>6617</v>
      </c>
      <c r="C19" s="5">
        <v>6081</v>
      </c>
      <c r="D19" s="5">
        <v>4070</v>
      </c>
      <c r="E19" s="5">
        <v>4429</v>
      </c>
    </row>
    <row r="20" spans="1:8" ht="14.5" x14ac:dyDescent="0.35">
      <c r="A20" s="5" t="s">
        <v>28</v>
      </c>
      <c r="B20" s="5">
        <v>2350</v>
      </c>
      <c r="C20" s="5">
        <v>2450</v>
      </c>
      <c r="D20" s="5">
        <v>3200</v>
      </c>
      <c r="E20" s="5">
        <v>3150</v>
      </c>
    </row>
    <row r="21" spans="1:8" ht="14.5" x14ac:dyDescent="0.35">
      <c r="A21" s="26" t="s">
        <v>6</v>
      </c>
      <c r="B21" s="19"/>
      <c r="C21" s="19"/>
      <c r="D21" s="19"/>
      <c r="E21" s="19"/>
    </row>
    <row r="22" spans="1:8" ht="15.75" customHeight="1" x14ac:dyDescent="0.35">
      <c r="A22" s="26" t="s">
        <v>88</v>
      </c>
      <c r="B22" s="20">
        <v>4293</v>
      </c>
      <c r="C22" s="20">
        <v>5000</v>
      </c>
      <c r="D22" s="20">
        <v>8000</v>
      </c>
      <c r="E22" s="20">
        <v>14000</v>
      </c>
    </row>
    <row r="23" spans="1:8" ht="15.75" customHeight="1" x14ac:dyDescent="0.35"/>
    <row r="24" spans="1:8" ht="15.75" customHeight="1" x14ac:dyDescent="0.35">
      <c r="A24" s="5" t="s">
        <v>57</v>
      </c>
      <c r="D24" s="6"/>
      <c r="E24" s="6"/>
      <c r="F24" s="6"/>
      <c r="G24" s="6"/>
      <c r="H24" s="6"/>
    </row>
    <row r="25" spans="1:8" ht="15.75" customHeight="1" x14ac:dyDescent="0.35"/>
    <row r="26" spans="1:8" ht="15.75" customHeight="1" x14ac:dyDescent="0.35">
      <c r="A26" s="6" t="s">
        <v>30</v>
      </c>
      <c r="B26" s="6" t="s">
        <v>31</v>
      </c>
    </row>
    <row r="27" spans="1:8" ht="15.75" customHeight="1" x14ac:dyDescent="0.35">
      <c r="A27" s="5" t="s">
        <v>73</v>
      </c>
      <c r="B27" s="8">
        <v>0.61739999999999995</v>
      </c>
    </row>
    <row r="28" spans="1:8" ht="15.75" customHeight="1" x14ac:dyDescent="0.35">
      <c r="A28" s="5" t="s">
        <v>75</v>
      </c>
      <c r="B28" s="8">
        <v>0.3155</v>
      </c>
    </row>
    <row r="29" spans="1:8" ht="15.75" customHeight="1" x14ac:dyDescent="0.35">
      <c r="A29" s="5" t="s">
        <v>89</v>
      </c>
      <c r="B29" s="8">
        <v>4.2000000000000003E-2</v>
      </c>
    </row>
    <row r="30" spans="1:8" ht="15.75" customHeight="1" x14ac:dyDescent="0.35">
      <c r="A30" s="5" t="s">
        <v>90</v>
      </c>
      <c r="B30" s="8">
        <v>8.6999999999999994E-3</v>
      </c>
    </row>
    <row r="31" spans="1:8" ht="15.75" customHeight="1" x14ac:dyDescent="0.35">
      <c r="A31" s="5" t="s">
        <v>91</v>
      </c>
      <c r="B31" s="8">
        <v>7.4000000000000003E-3</v>
      </c>
    </row>
    <row r="32" spans="1:8" ht="15.75" customHeight="1" x14ac:dyDescent="0.35">
      <c r="A32" s="5" t="s">
        <v>92</v>
      </c>
      <c r="B32" s="8">
        <v>6.0000000000000001E-3</v>
      </c>
    </row>
    <row r="33" spans="1:5" ht="15.75" customHeight="1" x14ac:dyDescent="0.35">
      <c r="A33" s="5" t="s">
        <v>60</v>
      </c>
      <c r="B33" s="8">
        <v>1E-3</v>
      </c>
    </row>
    <row r="34" spans="1:5" ht="15.75" customHeight="1" x14ac:dyDescent="0.35"/>
    <row r="35" spans="1:5" ht="15.75" customHeight="1" x14ac:dyDescent="0.35"/>
    <row r="36" spans="1:5" ht="15.75" customHeight="1" x14ac:dyDescent="0.35">
      <c r="A36" s="1" t="s">
        <v>47</v>
      </c>
      <c r="B36" s="1" t="s">
        <v>48</v>
      </c>
      <c r="C36" s="1" t="s">
        <v>49</v>
      </c>
      <c r="D36" s="1" t="s">
        <v>50</v>
      </c>
      <c r="E36" s="1"/>
    </row>
    <row r="37" spans="1:5" ht="15.75" customHeight="1" x14ac:dyDescent="0.35">
      <c r="A37" s="23" t="s">
        <v>93</v>
      </c>
      <c r="B37" s="24" t="s">
        <v>94</v>
      </c>
      <c r="C37" s="23" t="s">
        <v>95</v>
      </c>
      <c r="D37" s="23" t="s">
        <v>96</v>
      </c>
      <c r="E37" s="1"/>
    </row>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1"/>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224</v>
      </c>
    </row>
    <row r="2" spans="1:5" ht="87" x14ac:dyDescent="0.35">
      <c r="A2" s="16" t="s">
        <v>97</v>
      </c>
    </row>
    <row r="4" spans="1:5" ht="14.5" x14ac:dyDescent="0.35">
      <c r="A4" s="15" t="s">
        <v>9</v>
      </c>
      <c r="B4" s="27">
        <f t="shared" ref="B4:D4" si="0">20800000-7800000</f>
        <v>13000000</v>
      </c>
      <c r="C4" s="27">
        <f t="shared" si="0"/>
        <v>13000000</v>
      </c>
      <c r="D4" s="27">
        <f t="shared" si="0"/>
        <v>13000000</v>
      </c>
      <c r="E4" s="19">
        <v>20800000</v>
      </c>
    </row>
    <row r="6" spans="1:5" ht="14.5" x14ac:dyDescent="0.35">
      <c r="A6" s="6" t="s">
        <v>14</v>
      </c>
      <c r="B6" s="6">
        <v>2021</v>
      </c>
      <c r="C6" s="6">
        <v>2022</v>
      </c>
      <c r="D6" s="6">
        <v>2023</v>
      </c>
      <c r="E6" s="6">
        <v>2024</v>
      </c>
    </row>
    <row r="7" spans="1:5" ht="14.5" x14ac:dyDescent="0.35">
      <c r="A7" s="5" t="s">
        <v>15</v>
      </c>
      <c r="B7" s="5">
        <v>11426</v>
      </c>
      <c r="C7" s="5">
        <v>12108</v>
      </c>
      <c r="D7" s="5">
        <v>15670</v>
      </c>
      <c r="E7" s="5">
        <v>16442</v>
      </c>
    </row>
    <row r="8" spans="1:5" ht="14.5" x14ac:dyDescent="0.35">
      <c r="A8" s="5" t="s">
        <v>16</v>
      </c>
      <c r="B8" s="5">
        <v>202901</v>
      </c>
      <c r="C8" s="5">
        <v>206852</v>
      </c>
      <c r="D8" s="5">
        <v>192785</v>
      </c>
      <c r="E8" s="5">
        <v>183064</v>
      </c>
    </row>
    <row r="9" spans="1:5" ht="14.5" x14ac:dyDescent="0.35">
      <c r="A9" s="5" t="s">
        <v>3</v>
      </c>
      <c r="B9" s="18">
        <v>216417</v>
      </c>
      <c r="C9" s="18">
        <v>2311001</v>
      </c>
      <c r="D9" s="18">
        <v>245622</v>
      </c>
      <c r="E9" s="18">
        <v>205153</v>
      </c>
    </row>
    <row r="10" spans="1:5" ht="14.5" x14ac:dyDescent="0.35">
      <c r="A10" s="5" t="s">
        <v>17</v>
      </c>
      <c r="B10" s="18">
        <v>37239</v>
      </c>
      <c r="C10" s="18">
        <v>41969</v>
      </c>
      <c r="D10" s="18">
        <v>44173</v>
      </c>
      <c r="E10" s="18">
        <v>45669</v>
      </c>
    </row>
    <row r="11" spans="1:5" ht="14.5" x14ac:dyDescent="0.35">
      <c r="A11" s="5" t="s">
        <v>18</v>
      </c>
      <c r="B11" s="18">
        <v>283448</v>
      </c>
      <c r="C11" s="18">
        <v>382705</v>
      </c>
      <c r="D11" s="18">
        <v>304801</v>
      </c>
      <c r="E11" s="18">
        <v>205153</v>
      </c>
    </row>
    <row r="12" spans="1:5" ht="14.5" x14ac:dyDescent="0.35">
      <c r="A12" s="5" t="s">
        <v>2</v>
      </c>
      <c r="B12" s="18">
        <v>329785</v>
      </c>
      <c r="C12" s="18">
        <v>356378</v>
      </c>
      <c r="D12" s="18">
        <v>357509</v>
      </c>
      <c r="E12" s="18">
        <v>349869</v>
      </c>
    </row>
    <row r="13" spans="1:5" ht="14.5" x14ac:dyDescent="0.35">
      <c r="A13" s="5" t="s">
        <v>19</v>
      </c>
      <c r="B13" s="18">
        <v>24255</v>
      </c>
      <c r="C13" s="18">
        <v>24995</v>
      </c>
      <c r="D13" s="18">
        <v>24624</v>
      </c>
      <c r="E13" s="18">
        <v>21380</v>
      </c>
    </row>
    <row r="14" spans="1:5" ht="14.5" x14ac:dyDescent="0.35">
      <c r="A14" s="5" t="s">
        <v>20</v>
      </c>
      <c r="B14" s="18">
        <v>8572</v>
      </c>
      <c r="C14" s="18">
        <v>14693</v>
      </c>
      <c r="D14" s="18">
        <v>12879</v>
      </c>
      <c r="E14" s="18">
        <v>6116</v>
      </c>
    </row>
    <row r="15" spans="1:5" ht="14.5" x14ac:dyDescent="0.35">
      <c r="A15" s="5" t="s">
        <v>21</v>
      </c>
      <c r="B15" s="18">
        <v>12328</v>
      </c>
      <c r="C15" s="18">
        <v>12658</v>
      </c>
      <c r="D15" s="18">
        <v>13658</v>
      </c>
      <c r="E15" s="18">
        <v>8251</v>
      </c>
    </row>
    <row r="16" spans="1:5" ht="14.5" x14ac:dyDescent="0.35">
      <c r="A16" s="5" t="s">
        <v>22</v>
      </c>
      <c r="B16" s="5">
        <v>10992</v>
      </c>
      <c r="C16" s="5">
        <v>11892</v>
      </c>
      <c r="D16" s="5">
        <v>11576</v>
      </c>
      <c r="E16" s="5">
        <v>5570</v>
      </c>
    </row>
    <row r="17" spans="1:8" ht="14.5" x14ac:dyDescent="0.35">
      <c r="A17" s="5" t="s">
        <v>23</v>
      </c>
      <c r="B17" s="5">
        <v>7421</v>
      </c>
      <c r="C17" s="5">
        <v>9397</v>
      </c>
      <c r="D17" s="5">
        <v>10134</v>
      </c>
      <c r="E17" s="5">
        <v>5002</v>
      </c>
    </row>
    <row r="18" spans="1:8" ht="14.5" x14ac:dyDescent="0.35">
      <c r="A18" s="5" t="s">
        <v>24</v>
      </c>
      <c r="B18" s="5">
        <v>6.13</v>
      </c>
      <c r="C18" s="5">
        <v>7.06</v>
      </c>
      <c r="D18" s="5">
        <v>7.42</v>
      </c>
      <c r="E18" s="5">
        <v>6.95</v>
      </c>
    </row>
    <row r="19" spans="1:8" ht="14.5" x14ac:dyDescent="0.35">
      <c r="A19" s="5" t="s">
        <v>26</v>
      </c>
      <c r="B19" s="5">
        <v>567.29999999999995</v>
      </c>
      <c r="C19" s="5">
        <v>613.79999999999995</v>
      </c>
      <c r="D19" s="5">
        <v>609.15</v>
      </c>
      <c r="E19" s="5">
        <v>209.25</v>
      </c>
    </row>
    <row r="20" spans="1:8" ht="14.5" x14ac:dyDescent="0.35">
      <c r="A20" s="5" t="s">
        <v>27</v>
      </c>
      <c r="B20" s="18">
        <v>3756</v>
      </c>
      <c r="C20" s="18">
        <v>2035</v>
      </c>
      <c r="D20" s="18">
        <v>779</v>
      </c>
      <c r="E20" s="18">
        <v>2135</v>
      </c>
    </row>
    <row r="21" spans="1:8" ht="15.75" customHeight="1" x14ac:dyDescent="0.35">
      <c r="A21" s="5" t="s">
        <v>28</v>
      </c>
      <c r="B21" s="5">
        <v>5100</v>
      </c>
      <c r="C21" s="5">
        <v>5785</v>
      </c>
      <c r="D21" s="5">
        <v>5390</v>
      </c>
      <c r="E21" s="5">
        <v>2575</v>
      </c>
    </row>
    <row r="22" spans="1:8" ht="15.75" customHeight="1" x14ac:dyDescent="0.35">
      <c r="A22" s="26" t="s">
        <v>6</v>
      </c>
    </row>
    <row r="23" spans="1:8" ht="15.75" customHeight="1" x14ac:dyDescent="0.35">
      <c r="A23" s="5" t="s">
        <v>98</v>
      </c>
      <c r="B23" s="5">
        <v>7930</v>
      </c>
      <c r="C23" s="21">
        <v>8580</v>
      </c>
      <c r="D23" s="21">
        <v>8515</v>
      </c>
      <c r="E23" s="21">
        <v>4680</v>
      </c>
    </row>
    <row r="24" spans="1:8" ht="15.75" customHeight="1" x14ac:dyDescent="0.35"/>
    <row r="25" spans="1:8" ht="15.75" customHeight="1" x14ac:dyDescent="0.35"/>
    <row r="26" spans="1:8" ht="15.75" customHeight="1" x14ac:dyDescent="0.35">
      <c r="A26" s="6" t="s">
        <v>30</v>
      </c>
      <c r="B26" s="6" t="s">
        <v>31</v>
      </c>
      <c r="D26" s="6"/>
      <c r="E26" s="6"/>
      <c r="F26" s="6"/>
      <c r="G26" s="6"/>
      <c r="H26" s="6"/>
    </row>
    <row r="27" spans="1:8" ht="15.75" customHeight="1" x14ac:dyDescent="0.35">
      <c r="A27" s="5" t="s">
        <v>58</v>
      </c>
      <c r="B27" s="8">
        <v>0.59060000000000001</v>
      </c>
    </row>
    <row r="28" spans="1:8" ht="15.75" customHeight="1" x14ac:dyDescent="0.35">
      <c r="A28" s="5" t="s">
        <v>59</v>
      </c>
      <c r="B28" s="8">
        <v>0.28249999999999997</v>
      </c>
    </row>
    <row r="29" spans="1:8" ht="15.75" customHeight="1" x14ac:dyDescent="0.35">
      <c r="A29" s="5" t="s">
        <v>81</v>
      </c>
      <c r="B29" s="8">
        <v>6.88E-2</v>
      </c>
    </row>
    <row r="30" spans="1:8" ht="15.75" customHeight="1" x14ac:dyDescent="0.35">
      <c r="A30" s="5" t="s">
        <v>99</v>
      </c>
      <c r="B30" s="8">
        <v>5.2400000000000002E-2</v>
      </c>
    </row>
    <row r="31" spans="1:8" ht="15.75" customHeight="1" x14ac:dyDescent="0.35">
      <c r="A31" s="5" t="s">
        <v>60</v>
      </c>
      <c r="B31" s="8">
        <v>4.1999999999999997E-3</v>
      </c>
    </row>
    <row r="32" spans="1:8" ht="15.75" customHeight="1" x14ac:dyDescent="0.35"/>
    <row r="33" spans="1:5" ht="15.75" customHeight="1" x14ac:dyDescent="0.35">
      <c r="A33" s="5" t="s">
        <v>46</v>
      </c>
    </row>
    <row r="34" spans="1:5" ht="15.75" customHeight="1" x14ac:dyDescent="0.35"/>
    <row r="35" spans="1:5" ht="15.75" customHeight="1" x14ac:dyDescent="0.35">
      <c r="A35" s="1" t="s">
        <v>47</v>
      </c>
      <c r="B35" s="1" t="s">
        <v>48</v>
      </c>
      <c r="C35" s="1" t="s">
        <v>49</v>
      </c>
      <c r="D35" s="1" t="s">
        <v>50</v>
      </c>
      <c r="E35" s="1"/>
    </row>
    <row r="36" spans="1:5" ht="15.75" customHeight="1" x14ac:dyDescent="0.35">
      <c r="A36" s="23" t="s">
        <v>100</v>
      </c>
      <c r="B36" s="24" t="s">
        <v>101</v>
      </c>
      <c r="C36" s="23" t="s">
        <v>95</v>
      </c>
      <c r="D36" s="23" t="s">
        <v>102</v>
      </c>
      <c r="E36" s="1"/>
    </row>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0"/>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9" ht="14.5" x14ac:dyDescent="0.35">
      <c r="A1" s="15" t="s">
        <v>7</v>
      </c>
      <c r="B1" s="46" t="s">
        <v>225</v>
      </c>
    </row>
    <row r="2" spans="1:9" ht="72.5" x14ac:dyDescent="0.35">
      <c r="A2" s="16" t="s">
        <v>103</v>
      </c>
    </row>
    <row r="4" spans="1:9" ht="14.5" x14ac:dyDescent="0.35">
      <c r="A4" s="15" t="s">
        <v>9</v>
      </c>
      <c r="B4" s="27">
        <f t="shared" ref="B4:D4" si="0">$E$4/2</f>
        <v>22000000</v>
      </c>
      <c r="C4" s="27">
        <f t="shared" si="0"/>
        <v>22000000</v>
      </c>
      <c r="D4" s="27">
        <f t="shared" si="0"/>
        <v>22000000</v>
      </c>
      <c r="E4" s="19">
        <v>44000000</v>
      </c>
    </row>
    <row r="6" spans="1:9" ht="14.5" x14ac:dyDescent="0.35">
      <c r="A6" s="6" t="s">
        <v>14</v>
      </c>
      <c r="B6" s="6">
        <v>2021</v>
      </c>
      <c r="C6" s="6">
        <v>2022</v>
      </c>
      <c r="D6" s="6">
        <v>2023</v>
      </c>
      <c r="E6" s="6">
        <v>2024</v>
      </c>
    </row>
    <row r="7" spans="1:9" ht="14.5" x14ac:dyDescent="0.35">
      <c r="A7" s="5" t="s">
        <v>15</v>
      </c>
      <c r="B7" s="5">
        <v>11355</v>
      </c>
      <c r="C7" s="5">
        <v>10850</v>
      </c>
      <c r="D7" s="5">
        <v>10567</v>
      </c>
      <c r="E7" s="5">
        <v>10329</v>
      </c>
    </row>
    <row r="8" spans="1:9" ht="14.5" x14ac:dyDescent="0.35">
      <c r="A8" s="5" t="s">
        <v>16</v>
      </c>
      <c r="B8" s="5">
        <v>577287</v>
      </c>
      <c r="C8" s="5">
        <v>642663</v>
      </c>
      <c r="D8" s="5">
        <v>655896</v>
      </c>
      <c r="E8" s="5">
        <v>587385</v>
      </c>
    </row>
    <row r="9" spans="1:9" ht="14.5" x14ac:dyDescent="0.35">
      <c r="A9" s="5" t="s">
        <v>3</v>
      </c>
      <c r="B9" s="18">
        <v>790804</v>
      </c>
      <c r="C9" s="18">
        <v>905160</v>
      </c>
      <c r="D9" s="18">
        <v>898488</v>
      </c>
      <c r="E9" s="18">
        <v>691041</v>
      </c>
    </row>
    <row r="10" spans="1:9" ht="14.5" x14ac:dyDescent="0.35">
      <c r="A10" s="5" t="s">
        <v>17</v>
      </c>
      <c r="B10" s="5">
        <v>96376</v>
      </c>
      <c r="C10" s="18">
        <v>110589</v>
      </c>
      <c r="D10" s="18">
        <v>127064</v>
      </c>
      <c r="E10" s="18">
        <v>139272</v>
      </c>
      <c r="I10" s="18"/>
    </row>
    <row r="11" spans="1:9" ht="14.5" x14ac:dyDescent="0.35">
      <c r="A11" s="5" t="s">
        <v>18</v>
      </c>
      <c r="B11" s="18">
        <v>956531</v>
      </c>
      <c r="C11" s="18">
        <v>1030854</v>
      </c>
      <c r="D11" s="18">
        <v>941840</v>
      </c>
      <c r="E11" s="18">
        <v>922119</v>
      </c>
    </row>
    <row r="12" spans="1:9" ht="14.5" x14ac:dyDescent="0.35">
      <c r="A12" s="5" t="s">
        <v>2</v>
      </c>
      <c r="B12" s="18">
        <v>1073229</v>
      </c>
      <c r="C12" s="18">
        <v>1163300</v>
      </c>
      <c r="D12" s="18">
        <v>1098276</v>
      </c>
      <c r="E12" s="18">
        <v>1078996</v>
      </c>
    </row>
    <row r="13" spans="1:9" ht="14.5" x14ac:dyDescent="0.35">
      <c r="A13" s="5" t="s">
        <v>19</v>
      </c>
      <c r="B13" s="18">
        <v>28784</v>
      </c>
      <c r="C13" s="18">
        <v>32632</v>
      </c>
      <c r="D13" s="18">
        <v>34567</v>
      </c>
      <c r="E13" s="18">
        <v>30000</v>
      </c>
    </row>
    <row r="14" spans="1:9" ht="14.5" x14ac:dyDescent="0.35">
      <c r="A14" s="5" t="s">
        <v>20</v>
      </c>
      <c r="B14" s="18">
        <v>24308</v>
      </c>
      <c r="C14" s="18">
        <v>29304</v>
      </c>
      <c r="D14" s="18">
        <v>34234</v>
      </c>
      <c r="E14" s="18">
        <v>25697</v>
      </c>
    </row>
    <row r="15" spans="1:9" ht="14.5" x14ac:dyDescent="0.35">
      <c r="A15" s="5" t="s">
        <v>21</v>
      </c>
      <c r="B15" s="18" t="s">
        <v>25</v>
      </c>
      <c r="C15" s="18" t="s">
        <v>25</v>
      </c>
      <c r="D15" s="18" t="s">
        <v>25</v>
      </c>
      <c r="E15" s="18" t="s">
        <v>25</v>
      </c>
    </row>
    <row r="16" spans="1:9" ht="14.5" x14ac:dyDescent="0.35">
      <c r="A16" s="5" t="s">
        <v>22</v>
      </c>
      <c r="B16" s="5">
        <v>24388</v>
      </c>
      <c r="C16" s="5">
        <v>29263</v>
      </c>
      <c r="D16" s="5">
        <v>34304</v>
      </c>
      <c r="E16" s="5">
        <v>25743</v>
      </c>
    </row>
    <row r="17" spans="1:8" ht="14.5" x14ac:dyDescent="0.35">
      <c r="A17" s="5" t="s">
        <v>23</v>
      </c>
      <c r="B17" s="5">
        <v>21245</v>
      </c>
      <c r="C17" s="5">
        <v>25477</v>
      </c>
      <c r="D17" s="5">
        <v>29063</v>
      </c>
      <c r="E17" s="5">
        <v>22418</v>
      </c>
    </row>
    <row r="18" spans="1:8" ht="14.5" x14ac:dyDescent="0.35">
      <c r="A18" s="5" t="s">
        <v>24</v>
      </c>
      <c r="B18" s="28">
        <f t="shared" ref="B18:E18" si="1">B21/(B17*1000000/B4)</f>
        <v>6.4203341962814786</v>
      </c>
      <c r="C18" s="28">
        <f t="shared" si="1"/>
        <v>4.4903246065078308</v>
      </c>
      <c r="D18" s="28">
        <f t="shared" si="1"/>
        <v>5.283694043973437</v>
      </c>
      <c r="E18" s="28">
        <f t="shared" si="1"/>
        <v>5.9568204121687929</v>
      </c>
    </row>
    <row r="19" spans="1:8" ht="14.5" x14ac:dyDescent="0.35">
      <c r="A19" s="5" t="s">
        <v>26</v>
      </c>
      <c r="B19" s="5">
        <f t="shared" ref="B19:D19" si="2">(B23*1000000*0.9)/B4</f>
        <v>460.8</v>
      </c>
      <c r="C19" s="5">
        <f t="shared" si="2"/>
        <v>593.1</v>
      </c>
      <c r="D19" s="5">
        <f t="shared" si="2"/>
        <v>724.5</v>
      </c>
      <c r="E19" s="5">
        <f>(E23*1000000*0.88)/E4</f>
        <v>431.2</v>
      </c>
    </row>
    <row r="20" spans="1:8" ht="14.5" x14ac:dyDescent="0.35">
      <c r="A20" s="5" t="s">
        <v>27</v>
      </c>
      <c r="B20" s="5">
        <v>448</v>
      </c>
      <c r="C20" s="5">
        <v>577</v>
      </c>
      <c r="D20" s="5">
        <v>704</v>
      </c>
      <c r="E20" s="5">
        <v>428</v>
      </c>
    </row>
    <row r="21" spans="1:8" ht="15.75" customHeight="1" x14ac:dyDescent="0.35">
      <c r="A21" s="5" t="s">
        <v>28</v>
      </c>
      <c r="B21" s="5">
        <v>6200</v>
      </c>
      <c r="C21" s="5">
        <v>5200</v>
      </c>
      <c r="D21" s="5">
        <v>6980</v>
      </c>
      <c r="E21" s="5">
        <v>3035</v>
      </c>
    </row>
    <row r="22" spans="1:8" ht="15.75" customHeight="1" x14ac:dyDescent="0.35">
      <c r="A22" s="5" t="s">
        <v>6</v>
      </c>
      <c r="C22" s="5">
        <v>1214</v>
      </c>
      <c r="D22" s="5">
        <v>1424</v>
      </c>
      <c r="E22" s="5">
        <v>1565</v>
      </c>
    </row>
    <row r="23" spans="1:8" ht="15.75" customHeight="1" x14ac:dyDescent="0.35">
      <c r="A23" s="5" t="s">
        <v>98</v>
      </c>
      <c r="B23" s="5">
        <v>11264</v>
      </c>
      <c r="C23" s="5">
        <v>14498</v>
      </c>
      <c r="D23" s="5">
        <v>17710</v>
      </c>
      <c r="E23" s="5">
        <v>21560</v>
      </c>
    </row>
    <row r="24" spans="1:8" ht="15.75" customHeight="1" x14ac:dyDescent="0.35"/>
    <row r="25" spans="1:8" ht="15.75" customHeight="1" x14ac:dyDescent="0.35">
      <c r="A25" s="6" t="s">
        <v>30</v>
      </c>
      <c r="B25" s="6" t="s">
        <v>31</v>
      </c>
      <c r="D25" s="6"/>
      <c r="E25" s="6"/>
      <c r="F25" s="6"/>
      <c r="G25" s="6"/>
      <c r="H25" s="6"/>
    </row>
    <row r="26" spans="1:8" ht="15.75" customHeight="1" x14ac:dyDescent="0.35">
      <c r="A26" s="5" t="s">
        <v>58</v>
      </c>
      <c r="B26" s="8">
        <v>0.56479999999999997</v>
      </c>
      <c r="D26" s="6"/>
      <c r="E26" s="6"/>
      <c r="F26" s="6"/>
      <c r="G26" s="6"/>
      <c r="H26" s="6"/>
    </row>
    <row r="27" spans="1:8" ht="15.75" customHeight="1" x14ac:dyDescent="0.35">
      <c r="A27" s="5" t="s">
        <v>59</v>
      </c>
      <c r="B27" s="8">
        <v>0.25919999999999999</v>
      </c>
    </row>
    <row r="28" spans="1:8" ht="15.75" customHeight="1" x14ac:dyDescent="0.35">
      <c r="A28" s="5" t="s">
        <v>104</v>
      </c>
      <c r="B28" s="8">
        <v>9.2100000000000001E-2</v>
      </c>
    </row>
    <row r="29" spans="1:8" ht="15.75" customHeight="1" x14ac:dyDescent="0.35">
      <c r="A29" s="5" t="s">
        <v>105</v>
      </c>
      <c r="B29" s="8">
        <v>8.3900000000000002E-2</v>
      </c>
    </row>
    <row r="30" spans="1:8" ht="15.75" customHeight="1" x14ac:dyDescent="0.35"/>
    <row r="31" spans="1:8" ht="15.75" customHeight="1" x14ac:dyDescent="0.35">
      <c r="A31" s="5" t="s">
        <v>46</v>
      </c>
    </row>
    <row r="32" spans="1:8" ht="15.75" customHeight="1" x14ac:dyDescent="0.35"/>
    <row r="33" spans="1:5" ht="15.75" customHeight="1" x14ac:dyDescent="0.35">
      <c r="A33" s="1" t="s">
        <v>47</v>
      </c>
      <c r="B33" s="1" t="s">
        <v>48</v>
      </c>
      <c r="C33" s="1" t="s">
        <v>49</v>
      </c>
      <c r="D33" s="1" t="s">
        <v>50</v>
      </c>
      <c r="E33" s="1"/>
    </row>
    <row r="34" spans="1:5" ht="15.75" customHeight="1" x14ac:dyDescent="0.35">
      <c r="A34" s="23" t="s">
        <v>106</v>
      </c>
      <c r="B34" s="24" t="s">
        <v>107</v>
      </c>
      <c r="C34" s="23" t="s">
        <v>108</v>
      </c>
      <c r="D34" s="23" t="s">
        <v>109</v>
      </c>
      <c r="E34" s="1"/>
    </row>
    <row r="35" spans="1:5" ht="15.75" customHeight="1" x14ac:dyDescent="0.35"/>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1"/>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226</v>
      </c>
    </row>
    <row r="2" spans="1:5" ht="72.5" x14ac:dyDescent="0.35">
      <c r="A2" s="16" t="s">
        <v>110</v>
      </c>
    </row>
    <row r="4" spans="1:5" ht="14.5" x14ac:dyDescent="0.35">
      <c r="A4" s="15" t="s">
        <v>9</v>
      </c>
      <c r="B4" s="27">
        <f t="shared" ref="B4:D4" si="0">$E$4/2</f>
        <v>50000000</v>
      </c>
      <c r="C4" s="27">
        <f t="shared" si="0"/>
        <v>50000000</v>
      </c>
      <c r="D4" s="27">
        <f t="shared" si="0"/>
        <v>50000000</v>
      </c>
      <c r="E4" s="19">
        <v>100000000</v>
      </c>
    </row>
    <row r="6" spans="1:5" ht="14.5" x14ac:dyDescent="0.35">
      <c r="A6" s="6" t="s">
        <v>14</v>
      </c>
      <c r="B6" s="6">
        <v>2021</v>
      </c>
      <c r="C6" s="6">
        <v>2022</v>
      </c>
      <c r="D6" s="6">
        <v>2023</v>
      </c>
      <c r="E6" s="6">
        <v>2024</v>
      </c>
    </row>
    <row r="7" spans="1:5" ht="14.5" x14ac:dyDescent="0.35">
      <c r="A7" s="5" t="s">
        <v>15</v>
      </c>
      <c r="B7" s="5">
        <v>15976</v>
      </c>
      <c r="C7" s="5">
        <v>15739</v>
      </c>
      <c r="D7" s="5">
        <v>17224</v>
      </c>
      <c r="E7" s="5">
        <v>17206</v>
      </c>
    </row>
    <row r="8" spans="1:5" ht="14.5" x14ac:dyDescent="0.35">
      <c r="A8" s="5" t="s">
        <v>16</v>
      </c>
      <c r="B8" s="5">
        <v>889832</v>
      </c>
      <c r="C8" s="5">
        <v>964690</v>
      </c>
      <c r="D8" s="5">
        <v>1036960</v>
      </c>
      <c r="E8" s="5">
        <v>1101236</v>
      </c>
    </row>
    <row r="9" spans="1:5" ht="14.5" x14ac:dyDescent="0.35">
      <c r="A9" s="5" t="s">
        <v>3</v>
      </c>
      <c r="B9" s="18">
        <v>1099658</v>
      </c>
      <c r="C9" s="18">
        <v>1271199</v>
      </c>
      <c r="D9" s="18">
        <v>1294418</v>
      </c>
      <c r="E9" s="18">
        <v>1398752</v>
      </c>
    </row>
    <row r="10" spans="1:5" ht="14.5" x14ac:dyDescent="0.35">
      <c r="A10" s="5" t="s">
        <v>17</v>
      </c>
      <c r="B10" s="18">
        <v>130798</v>
      </c>
      <c r="C10" s="18">
        <v>148389</v>
      </c>
      <c r="D10" s="18">
        <v>164402</v>
      </c>
      <c r="E10" s="18">
        <v>187136</v>
      </c>
    </row>
    <row r="11" spans="1:5" ht="14.5" x14ac:dyDescent="0.35">
      <c r="A11" s="5" t="s">
        <v>18</v>
      </c>
      <c r="B11" s="18">
        <v>1125669</v>
      </c>
      <c r="C11" s="18">
        <v>1286864</v>
      </c>
      <c r="D11" s="18">
        <v>1381970</v>
      </c>
      <c r="E11" s="18">
        <v>1443407</v>
      </c>
    </row>
    <row r="12" spans="1:5" ht="14.5" x14ac:dyDescent="0.35">
      <c r="A12" s="5" t="s">
        <v>2</v>
      </c>
      <c r="B12" s="18">
        <v>1316459</v>
      </c>
      <c r="C12" s="18">
        <v>1499555</v>
      </c>
      <c r="D12" s="18">
        <v>1605873</v>
      </c>
      <c r="E12" s="18">
        <v>1685249</v>
      </c>
    </row>
    <row r="13" spans="1:5" ht="14.5" x14ac:dyDescent="0.35">
      <c r="A13" s="5" t="s">
        <v>19</v>
      </c>
      <c r="B13" s="18">
        <v>76532</v>
      </c>
      <c r="C13" s="18">
        <v>83542</v>
      </c>
      <c r="D13" s="18">
        <v>95571</v>
      </c>
      <c r="E13" s="18">
        <v>102763</v>
      </c>
    </row>
    <row r="14" spans="1:5" ht="14.5" x14ac:dyDescent="0.35">
      <c r="A14" s="5" t="s">
        <v>20</v>
      </c>
      <c r="B14" s="18">
        <v>40730</v>
      </c>
      <c r="C14" s="18">
        <v>45285</v>
      </c>
      <c r="D14" s="18">
        <v>48879</v>
      </c>
      <c r="E14" s="18">
        <v>57440</v>
      </c>
    </row>
    <row r="15" spans="1:5" ht="14.5" x14ac:dyDescent="0.35">
      <c r="A15" s="5" t="s">
        <v>21</v>
      </c>
      <c r="B15" s="18">
        <v>42042</v>
      </c>
      <c r="C15" s="18">
        <v>47561</v>
      </c>
      <c r="D15" s="18">
        <v>56871</v>
      </c>
      <c r="E15" s="18">
        <v>62634</v>
      </c>
    </row>
    <row r="16" spans="1:5" ht="14.5" x14ac:dyDescent="0.35">
      <c r="A16" s="5" t="s">
        <v>22</v>
      </c>
      <c r="B16" s="5">
        <v>40728</v>
      </c>
      <c r="C16" s="5">
        <v>46364</v>
      </c>
      <c r="D16" s="5">
        <v>48671</v>
      </c>
      <c r="E16" s="5">
        <v>57468</v>
      </c>
    </row>
    <row r="17" spans="1:8" ht="14.5" x14ac:dyDescent="0.35">
      <c r="A17" s="5" t="s">
        <v>23</v>
      </c>
      <c r="B17" s="5">
        <v>34031</v>
      </c>
      <c r="C17" s="5">
        <v>40090</v>
      </c>
      <c r="D17" s="5">
        <v>43513</v>
      </c>
      <c r="E17" s="5">
        <v>50234</v>
      </c>
    </row>
    <row r="18" spans="1:8" ht="14.5" x14ac:dyDescent="0.35">
      <c r="A18" s="5" t="s">
        <v>24</v>
      </c>
      <c r="B18" s="5">
        <v>5.86</v>
      </c>
      <c r="C18" s="5">
        <v>5.72</v>
      </c>
      <c r="D18" s="5">
        <v>6.15</v>
      </c>
      <c r="E18" s="5">
        <v>7.08</v>
      </c>
    </row>
    <row r="19" spans="1:8" ht="14.5" x14ac:dyDescent="0.35">
      <c r="A19" s="5" t="s">
        <v>26</v>
      </c>
      <c r="B19" s="29">
        <f t="shared" ref="B19:D19" si="1">(B23*1000000*0.9)/B4</f>
        <v>405</v>
      </c>
      <c r="C19" s="29">
        <f t="shared" si="1"/>
        <v>494.30970000000002</v>
      </c>
      <c r="D19" s="29">
        <f t="shared" si="1"/>
        <v>493.43741999999997</v>
      </c>
      <c r="E19" s="29">
        <f>(E23*1000000*0.88)/E4</f>
        <v>330</v>
      </c>
    </row>
    <row r="20" spans="1:8" ht="14.5" x14ac:dyDescent="0.35">
      <c r="A20" s="5" t="s">
        <v>27</v>
      </c>
      <c r="B20" s="18">
        <v>1312</v>
      </c>
      <c r="C20" s="18">
        <v>2276</v>
      </c>
      <c r="D20" s="18">
        <v>7992</v>
      </c>
      <c r="E20" s="18">
        <v>5194</v>
      </c>
    </row>
    <row r="21" spans="1:8" ht="15.75" customHeight="1" x14ac:dyDescent="0.35">
      <c r="A21" s="5" t="s">
        <v>28</v>
      </c>
      <c r="B21" s="5">
        <v>3985</v>
      </c>
      <c r="C21" s="5">
        <v>4585</v>
      </c>
      <c r="D21" s="5">
        <v>5350</v>
      </c>
      <c r="E21" s="5">
        <v>3555</v>
      </c>
    </row>
    <row r="22" spans="1:8" ht="15.75" customHeight="1" x14ac:dyDescent="0.35">
      <c r="A22" s="26" t="s">
        <v>6</v>
      </c>
    </row>
    <row r="23" spans="1:8" ht="15.75" customHeight="1" x14ac:dyDescent="0.35">
      <c r="A23" s="5" t="s">
        <v>98</v>
      </c>
      <c r="B23" s="30">
        <v>22500</v>
      </c>
      <c r="C23" s="31">
        <f>68.5%*C17</f>
        <v>27461.65</v>
      </c>
      <c r="D23" s="31">
        <f>63%*D17</f>
        <v>27413.19</v>
      </c>
      <c r="E23" s="31">
        <f>375*E4/1000000</f>
        <v>37500</v>
      </c>
    </row>
    <row r="24" spans="1:8" ht="15.75" customHeight="1" x14ac:dyDescent="0.35"/>
    <row r="25" spans="1:8" ht="15.75" customHeight="1" x14ac:dyDescent="0.35">
      <c r="D25" s="6"/>
      <c r="E25" s="6"/>
      <c r="F25" s="6"/>
      <c r="G25" s="6"/>
      <c r="H25" s="6"/>
    </row>
    <row r="26" spans="1:8" ht="15.75" customHeight="1" x14ac:dyDescent="0.35">
      <c r="A26" s="32" t="s">
        <v>111</v>
      </c>
      <c r="B26" s="32" t="s">
        <v>31</v>
      </c>
    </row>
    <row r="27" spans="1:8" ht="15.75" customHeight="1" x14ac:dyDescent="0.35">
      <c r="A27" s="2" t="s">
        <v>112</v>
      </c>
      <c r="B27" s="33">
        <v>0.51</v>
      </c>
    </row>
    <row r="28" spans="1:8" ht="15.75" customHeight="1" x14ac:dyDescent="0.35">
      <c r="A28" s="2" t="s">
        <v>113</v>
      </c>
      <c r="B28" s="33">
        <v>0.24</v>
      </c>
    </row>
    <row r="29" spans="1:8" ht="15.75" customHeight="1" x14ac:dyDescent="0.35">
      <c r="A29" s="2" t="s">
        <v>114</v>
      </c>
      <c r="B29" s="33">
        <v>0.2</v>
      </c>
    </row>
    <row r="30" spans="1:8" ht="15.75" customHeight="1" x14ac:dyDescent="0.35">
      <c r="A30" s="2" t="s">
        <v>38</v>
      </c>
      <c r="B30" s="33">
        <v>0.05</v>
      </c>
    </row>
    <row r="31" spans="1:8" ht="15.75" customHeight="1" x14ac:dyDescent="0.35"/>
    <row r="32" spans="1:8" ht="15.75" customHeight="1" x14ac:dyDescent="0.35">
      <c r="A32" s="5" t="s">
        <v>46</v>
      </c>
    </row>
    <row r="33" spans="1:5" ht="15.75" customHeight="1" x14ac:dyDescent="0.35"/>
    <row r="34" spans="1:5" ht="15.75" customHeight="1" x14ac:dyDescent="0.35">
      <c r="A34" s="1" t="s">
        <v>47</v>
      </c>
      <c r="B34" s="1" t="s">
        <v>48</v>
      </c>
      <c r="C34" s="1" t="s">
        <v>49</v>
      </c>
      <c r="D34" s="1" t="s">
        <v>50</v>
      </c>
      <c r="E34" s="1"/>
    </row>
    <row r="35" spans="1:5" ht="15.75" customHeight="1" x14ac:dyDescent="0.35">
      <c r="A35" s="12" t="s">
        <v>115</v>
      </c>
      <c r="B35" s="24" t="s">
        <v>116</v>
      </c>
      <c r="C35" s="23" t="s">
        <v>117</v>
      </c>
      <c r="D35" s="23" t="s">
        <v>118</v>
      </c>
      <c r="E35" s="1"/>
    </row>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1"/>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6" width="9.54296875" customWidth="1"/>
    <col min="7" max="25" width="8.7265625" customWidth="1"/>
  </cols>
  <sheetData>
    <row r="1" spans="1:5" ht="14.5" x14ac:dyDescent="0.35">
      <c r="A1" s="15" t="s">
        <v>7</v>
      </c>
      <c r="B1" s="46" t="s">
        <v>227</v>
      </c>
    </row>
    <row r="2" spans="1:5" ht="58" x14ac:dyDescent="0.35">
      <c r="A2" s="34" t="s">
        <v>119</v>
      </c>
    </row>
    <row r="4" spans="1:5" ht="14.5" x14ac:dyDescent="0.35">
      <c r="A4" s="15" t="s">
        <v>9</v>
      </c>
      <c r="B4" s="19">
        <v>31111110</v>
      </c>
      <c r="C4" s="19">
        <v>31111110</v>
      </c>
      <c r="D4" s="19">
        <v>31111110</v>
      </c>
      <c r="E4" s="19">
        <v>31111110</v>
      </c>
    </row>
    <row r="6" spans="1:5" ht="14.5" x14ac:dyDescent="0.35">
      <c r="A6" s="6" t="s">
        <v>14</v>
      </c>
      <c r="B6" s="6">
        <v>2021</v>
      </c>
      <c r="C6" s="6">
        <v>2022</v>
      </c>
      <c r="D6" s="6">
        <v>2023</v>
      </c>
      <c r="E6" s="6">
        <v>2024</v>
      </c>
    </row>
    <row r="7" spans="1:5" ht="14.5" x14ac:dyDescent="0.35">
      <c r="A7" s="5" t="s">
        <v>15</v>
      </c>
      <c r="B7" s="5">
        <v>61837</v>
      </c>
      <c r="C7" s="5">
        <v>76559</v>
      </c>
      <c r="D7" s="5">
        <v>83793</v>
      </c>
      <c r="E7" s="5">
        <v>95229</v>
      </c>
    </row>
    <row r="8" spans="1:5" ht="14.5" x14ac:dyDescent="0.35">
      <c r="A8" s="5" t="s">
        <v>16</v>
      </c>
      <c r="B8" s="5">
        <v>1872917</v>
      </c>
      <c r="C8" s="5">
        <v>2160660</v>
      </c>
      <c r="D8" s="5">
        <v>2394858</v>
      </c>
      <c r="E8" s="5">
        <v>2474604</v>
      </c>
    </row>
    <row r="9" spans="1:5" ht="14.5" x14ac:dyDescent="0.35">
      <c r="A9" s="5" t="s">
        <v>3</v>
      </c>
      <c r="B9" s="18">
        <v>2528809</v>
      </c>
      <c r="C9" s="18">
        <v>2685322</v>
      </c>
      <c r="D9" s="18">
        <v>2715307</v>
      </c>
      <c r="E9" s="18">
        <v>2747507</v>
      </c>
    </row>
    <row r="10" spans="1:5" ht="14.5" x14ac:dyDescent="0.35">
      <c r="A10" s="5" t="s">
        <v>17</v>
      </c>
      <c r="B10" s="18">
        <v>304994</v>
      </c>
      <c r="C10" s="18">
        <v>345011</v>
      </c>
      <c r="D10" s="18">
        <v>403974</v>
      </c>
      <c r="E10" s="18">
        <v>451721</v>
      </c>
    </row>
    <row r="11" spans="1:5" ht="14.5" x14ac:dyDescent="0.35">
      <c r="A11" s="5" t="s">
        <v>18</v>
      </c>
      <c r="B11" s="18">
        <v>2616466</v>
      </c>
      <c r="C11" s="18">
        <v>2890308</v>
      </c>
      <c r="D11" s="18">
        <v>2883934</v>
      </c>
      <c r="E11" s="18">
        <v>3010061</v>
      </c>
    </row>
    <row r="12" spans="1:5" ht="14.5" x14ac:dyDescent="0.35">
      <c r="A12" s="5" t="s">
        <v>2</v>
      </c>
      <c r="B12" s="18">
        <v>3021480</v>
      </c>
      <c r="C12" s="18">
        <v>3345284</v>
      </c>
      <c r="D12" s="18">
        <v>3437669</v>
      </c>
      <c r="E12" s="18">
        <v>3549691</v>
      </c>
    </row>
    <row r="13" spans="1:5" ht="14.5" x14ac:dyDescent="0.35">
      <c r="A13" s="5" t="s">
        <v>19</v>
      </c>
      <c r="B13" s="18">
        <v>189096</v>
      </c>
      <c r="C13" s="18">
        <v>215101</v>
      </c>
      <c r="D13" s="18">
        <v>253255</v>
      </c>
      <c r="E13" s="18">
        <v>263206</v>
      </c>
    </row>
    <row r="14" spans="1:5" ht="14.5" x14ac:dyDescent="0.35">
      <c r="A14" s="5" t="s">
        <v>20</v>
      </c>
      <c r="B14" s="18">
        <v>80504</v>
      </c>
      <c r="C14" s="18">
        <v>89891</v>
      </c>
      <c r="D14" s="18">
        <v>120016</v>
      </c>
      <c r="E14" s="18">
        <v>127248</v>
      </c>
    </row>
    <row r="15" spans="1:5" ht="14.5" x14ac:dyDescent="0.35">
      <c r="A15" s="5" t="s">
        <v>21</v>
      </c>
      <c r="B15" s="18">
        <v>98446</v>
      </c>
      <c r="C15" s="18">
        <v>118708</v>
      </c>
      <c r="D15" s="18">
        <v>147670</v>
      </c>
      <c r="E15" s="18">
        <v>163483</v>
      </c>
    </row>
    <row r="16" spans="1:5" ht="14.5" x14ac:dyDescent="0.35">
      <c r="A16" s="5" t="s">
        <v>22</v>
      </c>
      <c r="B16" s="5">
        <v>79574</v>
      </c>
      <c r="C16" s="5">
        <v>90713</v>
      </c>
      <c r="D16" s="5">
        <v>119587</v>
      </c>
      <c r="E16" s="5">
        <v>127561</v>
      </c>
    </row>
    <row r="17" spans="1:8" ht="14.5" x14ac:dyDescent="0.35">
      <c r="A17" s="5" t="s">
        <v>23</v>
      </c>
      <c r="B17" s="5">
        <v>67438</v>
      </c>
      <c r="C17" s="5">
        <v>74612</v>
      </c>
      <c r="D17" s="5">
        <v>97200</v>
      </c>
      <c r="E17" s="5">
        <v>101228</v>
      </c>
    </row>
    <row r="18" spans="1:8" ht="14.5" x14ac:dyDescent="0.35">
      <c r="A18" s="5" t="s">
        <v>24</v>
      </c>
      <c r="B18" s="5">
        <v>4.8899999999999997</v>
      </c>
      <c r="C18" s="5">
        <v>4.84</v>
      </c>
      <c r="D18" s="5">
        <v>5.14</v>
      </c>
      <c r="E18" s="5">
        <v>6.45</v>
      </c>
    </row>
    <row r="19" spans="1:8" ht="14.5" x14ac:dyDescent="0.35">
      <c r="A19" s="5" t="s">
        <v>26</v>
      </c>
      <c r="B19" s="5">
        <v>1004.93</v>
      </c>
      <c r="C19" s="5">
        <v>1112.43</v>
      </c>
      <c r="D19" s="5">
        <v>1553.85</v>
      </c>
      <c r="E19" s="5">
        <v>1645.78</v>
      </c>
    </row>
    <row r="20" spans="1:8" ht="14.5" x14ac:dyDescent="0.35">
      <c r="A20" s="5" t="s">
        <v>27</v>
      </c>
      <c r="B20" s="18">
        <v>17942</v>
      </c>
      <c r="C20" s="18">
        <v>28816</v>
      </c>
      <c r="D20" s="18">
        <v>27654</v>
      </c>
      <c r="E20" s="18">
        <v>36235</v>
      </c>
    </row>
    <row r="21" spans="1:8" ht="15.75" customHeight="1" x14ac:dyDescent="0.35">
      <c r="A21" s="5" t="s">
        <v>28</v>
      </c>
      <c r="B21" s="5">
        <v>10595</v>
      </c>
      <c r="C21" s="5">
        <v>11605</v>
      </c>
      <c r="D21" s="5">
        <v>16050</v>
      </c>
      <c r="E21" s="5">
        <v>21000</v>
      </c>
    </row>
    <row r="22" spans="1:8" ht="15.75" customHeight="1" x14ac:dyDescent="0.35">
      <c r="A22" s="26" t="s">
        <v>6</v>
      </c>
    </row>
    <row r="23" spans="1:8" ht="15.75" customHeight="1" x14ac:dyDescent="0.35">
      <c r="A23" s="5" t="s">
        <v>88</v>
      </c>
      <c r="B23" s="5">
        <v>34596</v>
      </c>
      <c r="C23" s="5">
        <v>38267</v>
      </c>
      <c r="D23" s="5">
        <v>53480</v>
      </c>
      <c r="E23" s="5">
        <v>57960</v>
      </c>
    </row>
    <row r="24" spans="1:8" ht="15.75" customHeight="1" x14ac:dyDescent="0.35"/>
    <row r="25" spans="1:8" ht="15.75" customHeight="1" x14ac:dyDescent="0.35"/>
    <row r="26" spans="1:8" ht="15.75" customHeight="1" x14ac:dyDescent="0.35">
      <c r="A26" s="6" t="s">
        <v>30</v>
      </c>
      <c r="B26" s="6" t="s">
        <v>31</v>
      </c>
      <c r="D26" s="6"/>
      <c r="E26" s="6"/>
      <c r="F26" s="6"/>
      <c r="G26" s="6"/>
      <c r="H26" s="6"/>
    </row>
    <row r="27" spans="1:8" ht="15.75" customHeight="1" x14ac:dyDescent="0.35">
      <c r="A27" s="5" t="s">
        <v>120</v>
      </c>
      <c r="B27" s="8">
        <v>0.71840000000000004</v>
      </c>
      <c r="D27" s="6"/>
      <c r="E27" s="6"/>
      <c r="F27" s="6"/>
      <c r="G27" s="6"/>
      <c r="H27" s="6"/>
    </row>
    <row r="28" spans="1:8" ht="15.75" customHeight="1" x14ac:dyDescent="0.35">
      <c r="A28" s="5" t="s">
        <v>38</v>
      </c>
      <c r="B28" s="8">
        <v>0.18090000000000001</v>
      </c>
    </row>
    <row r="29" spans="1:8" ht="15.75" customHeight="1" x14ac:dyDescent="0.35">
      <c r="A29" s="5" t="s">
        <v>121</v>
      </c>
      <c r="B29" s="8">
        <v>4.7E-2</v>
      </c>
    </row>
    <row r="30" spans="1:8" ht="15.75" customHeight="1" x14ac:dyDescent="0.35">
      <c r="A30" s="5" t="s">
        <v>122</v>
      </c>
      <c r="B30" s="8">
        <v>1.6199999999999999E-2</v>
      </c>
    </row>
    <row r="31" spans="1:8" ht="15.75" customHeight="1" x14ac:dyDescent="0.35">
      <c r="A31" s="5" t="s">
        <v>123</v>
      </c>
      <c r="B31" s="8">
        <v>1.41E-2</v>
      </c>
    </row>
    <row r="32" spans="1:8" ht="15.75" customHeight="1" x14ac:dyDescent="0.35">
      <c r="A32" s="5" t="s">
        <v>124</v>
      </c>
      <c r="B32" s="8">
        <v>1.35E-2</v>
      </c>
    </row>
    <row r="33" spans="1:5" ht="15.75" customHeight="1" x14ac:dyDescent="0.35">
      <c r="A33" s="5" t="s">
        <v>125</v>
      </c>
      <c r="B33" s="8">
        <v>9.5999999999999992E-3</v>
      </c>
    </row>
    <row r="34" spans="1:5" ht="15.75" customHeight="1" x14ac:dyDescent="0.35">
      <c r="A34" s="5" t="s">
        <v>126</v>
      </c>
      <c r="B34" s="8">
        <v>2.9999999999999997E-4</v>
      </c>
    </row>
    <row r="35" spans="1:5" ht="15.75" customHeight="1" x14ac:dyDescent="0.35"/>
    <row r="36" spans="1:5" ht="15.75" customHeight="1" x14ac:dyDescent="0.35">
      <c r="A36" s="5" t="s">
        <v>46</v>
      </c>
    </row>
    <row r="37" spans="1:5" ht="15.75" customHeight="1" x14ac:dyDescent="0.35"/>
    <row r="38" spans="1:5" ht="15.75" customHeight="1" x14ac:dyDescent="0.35">
      <c r="A38" s="1"/>
      <c r="B38" s="1"/>
      <c r="C38" s="1"/>
      <c r="D38" s="1"/>
      <c r="E38" s="1"/>
    </row>
    <row r="39" spans="1:5" ht="15.75" customHeight="1" x14ac:dyDescent="0.35">
      <c r="A39" s="1" t="s">
        <v>47</v>
      </c>
      <c r="B39" s="1" t="s">
        <v>48</v>
      </c>
      <c r="C39" s="1" t="s">
        <v>49</v>
      </c>
      <c r="D39" s="1" t="s">
        <v>50</v>
      </c>
      <c r="E39" s="1"/>
    </row>
    <row r="40" spans="1:5" ht="15.75" customHeight="1" x14ac:dyDescent="0.35">
      <c r="A40" s="12" t="s">
        <v>127</v>
      </c>
      <c r="B40" s="24" t="s">
        <v>128</v>
      </c>
      <c r="C40" s="23" t="s">
        <v>129</v>
      </c>
      <c r="D40" s="23" t="s">
        <v>130</v>
      </c>
      <c r="E40" s="1"/>
    </row>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959"/>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228</v>
      </c>
    </row>
    <row r="2" spans="1:5" ht="87" x14ac:dyDescent="0.35">
      <c r="A2" s="16" t="s">
        <v>131</v>
      </c>
    </row>
    <row r="4" spans="1:5" ht="14.5" x14ac:dyDescent="0.35">
      <c r="A4" s="15" t="s">
        <v>9</v>
      </c>
      <c r="B4" s="19">
        <v>32000000</v>
      </c>
      <c r="C4" s="19">
        <v>32000000</v>
      </c>
      <c r="D4" s="19">
        <v>32000000</v>
      </c>
      <c r="E4" s="19">
        <v>32000000</v>
      </c>
    </row>
    <row r="6" spans="1:5" ht="14.5" x14ac:dyDescent="0.35">
      <c r="A6" s="6" t="s">
        <v>14</v>
      </c>
      <c r="B6" s="6">
        <v>2021</v>
      </c>
      <c r="C6" s="6">
        <v>2022</v>
      </c>
      <c r="D6" s="6">
        <v>2023</v>
      </c>
      <c r="E6" s="6">
        <v>2024</v>
      </c>
    </row>
    <row r="7" spans="1:5" ht="14.5" x14ac:dyDescent="0.35">
      <c r="A7" s="5" t="s">
        <v>15</v>
      </c>
      <c r="B7" s="5">
        <v>42345</v>
      </c>
      <c r="C7" s="5">
        <v>51276</v>
      </c>
      <c r="D7" s="5">
        <v>58062</v>
      </c>
      <c r="E7" s="5" t="s">
        <v>132</v>
      </c>
    </row>
    <row r="8" spans="1:5" ht="14.5" x14ac:dyDescent="0.35">
      <c r="A8" s="5" t="s">
        <v>16</v>
      </c>
      <c r="B8" s="5">
        <v>943761</v>
      </c>
      <c r="C8" s="5">
        <v>1205830</v>
      </c>
      <c r="D8" s="5">
        <v>1214090</v>
      </c>
      <c r="E8" s="5">
        <v>1258929</v>
      </c>
    </row>
    <row r="9" spans="1:5" ht="14.5" x14ac:dyDescent="0.35">
      <c r="A9" s="5" t="s">
        <v>3</v>
      </c>
      <c r="B9" s="18">
        <v>1238527</v>
      </c>
      <c r="C9" s="18">
        <v>1446503</v>
      </c>
      <c r="D9" s="18">
        <v>1527974</v>
      </c>
      <c r="E9" s="5">
        <v>1725521</v>
      </c>
    </row>
    <row r="10" spans="1:5" ht="14.5" x14ac:dyDescent="0.35">
      <c r="A10" s="5" t="s">
        <v>17</v>
      </c>
      <c r="B10" s="18">
        <v>189815</v>
      </c>
      <c r="C10" s="18">
        <v>228513</v>
      </c>
      <c r="D10" s="18">
        <v>271865</v>
      </c>
      <c r="E10" s="18" t="s">
        <v>132</v>
      </c>
    </row>
    <row r="11" spans="1:5" ht="14.5" x14ac:dyDescent="0.35">
      <c r="A11" s="5" t="s">
        <v>18</v>
      </c>
      <c r="B11" s="18">
        <v>1726762</v>
      </c>
      <c r="C11" s="18">
        <v>2012127</v>
      </c>
      <c r="D11" s="18">
        <v>2174761</v>
      </c>
      <c r="E11" s="5" t="s">
        <v>132</v>
      </c>
    </row>
    <row r="12" spans="1:5" ht="14.5" x14ac:dyDescent="0.35">
      <c r="A12" s="5" t="s">
        <v>2</v>
      </c>
      <c r="B12" s="18">
        <v>1952977</v>
      </c>
      <c r="C12" s="18">
        <v>2289034</v>
      </c>
      <c r="D12" s="18">
        <v>2488600</v>
      </c>
      <c r="E12" s="5">
        <v>2682791</v>
      </c>
    </row>
    <row r="13" spans="1:5" ht="14.5" x14ac:dyDescent="0.35">
      <c r="A13" s="5" t="s">
        <v>19</v>
      </c>
      <c r="B13" s="18">
        <v>90298</v>
      </c>
      <c r="C13" s="18">
        <v>111106</v>
      </c>
      <c r="D13" s="18">
        <v>129203</v>
      </c>
      <c r="E13" s="5">
        <v>130987</v>
      </c>
    </row>
    <row r="14" spans="1:5" ht="14.5" x14ac:dyDescent="0.35">
      <c r="A14" s="5" t="s">
        <v>20</v>
      </c>
      <c r="B14" s="18">
        <v>46371</v>
      </c>
      <c r="C14" s="18">
        <v>60745</v>
      </c>
      <c r="D14" s="18">
        <v>69367</v>
      </c>
      <c r="E14" s="5">
        <v>47755</v>
      </c>
    </row>
    <row r="15" spans="1:5" ht="14.5" x14ac:dyDescent="0.35">
      <c r="A15" s="5" t="s">
        <v>21</v>
      </c>
      <c r="B15" s="18">
        <v>57840</v>
      </c>
      <c r="C15" s="18">
        <v>74982</v>
      </c>
      <c r="D15" s="18">
        <v>92836</v>
      </c>
      <c r="E15" s="18">
        <v>88227</v>
      </c>
    </row>
    <row r="16" spans="1:5" ht="14.5" x14ac:dyDescent="0.35">
      <c r="A16" s="5" t="s">
        <v>22</v>
      </c>
      <c r="B16" s="5">
        <v>51552</v>
      </c>
      <c r="C16" s="5">
        <v>62115</v>
      </c>
      <c r="D16" s="5">
        <v>69257</v>
      </c>
      <c r="E16" s="5">
        <v>49204</v>
      </c>
    </row>
    <row r="17" spans="1:8" ht="14.5" x14ac:dyDescent="0.35">
      <c r="A17" s="5" t="s">
        <v>23</v>
      </c>
      <c r="B17" s="5">
        <v>46549</v>
      </c>
      <c r="C17" s="5">
        <v>56478</v>
      </c>
      <c r="D17" s="5">
        <v>64246</v>
      </c>
      <c r="E17" s="5">
        <v>47937</v>
      </c>
    </row>
    <row r="18" spans="1:8" ht="14.5" x14ac:dyDescent="0.35">
      <c r="A18" s="5" t="s">
        <v>24</v>
      </c>
      <c r="B18" s="5">
        <v>7.22</v>
      </c>
      <c r="C18" s="5">
        <v>4.75</v>
      </c>
      <c r="D18" s="5">
        <v>4.63</v>
      </c>
      <c r="E18" s="5">
        <v>6.83</v>
      </c>
    </row>
    <row r="19" spans="1:8" ht="14.5" x14ac:dyDescent="0.35">
      <c r="A19" s="5" t="s">
        <v>26</v>
      </c>
      <c r="B19" s="5">
        <v>448</v>
      </c>
      <c r="C19" s="5">
        <v>525</v>
      </c>
      <c r="D19" s="5">
        <v>790</v>
      </c>
      <c r="E19" s="5">
        <v>555</v>
      </c>
    </row>
    <row r="20" spans="1:8" ht="14.5" x14ac:dyDescent="0.35">
      <c r="A20" s="5" t="s">
        <v>27</v>
      </c>
      <c r="B20" s="18">
        <v>11469</v>
      </c>
      <c r="C20" s="18">
        <v>14237</v>
      </c>
      <c r="D20" s="18">
        <v>23469</v>
      </c>
      <c r="E20" s="5">
        <v>40472</v>
      </c>
    </row>
    <row r="21" spans="1:8" ht="15.75" customHeight="1" x14ac:dyDescent="0.35">
      <c r="A21" s="5" t="s">
        <v>28</v>
      </c>
      <c r="B21" s="5">
        <v>10500</v>
      </c>
      <c r="C21" s="5">
        <v>8390</v>
      </c>
      <c r="D21" s="5">
        <v>9300</v>
      </c>
      <c r="E21" s="5">
        <v>9885</v>
      </c>
    </row>
    <row r="22" spans="1:8" ht="15.75" customHeight="1" x14ac:dyDescent="0.35">
      <c r="A22" s="26" t="s">
        <v>6</v>
      </c>
    </row>
    <row r="23" spans="1:8" ht="15.75" customHeight="1" x14ac:dyDescent="0.35">
      <c r="A23" s="5" t="s">
        <v>98</v>
      </c>
      <c r="B23" s="35">
        <v>16384</v>
      </c>
      <c r="C23" s="35">
        <v>19200</v>
      </c>
      <c r="D23" s="35">
        <v>28891</v>
      </c>
      <c r="E23" s="31">
        <f>634.29*B4/1000000</f>
        <v>20297.28</v>
      </c>
    </row>
    <row r="24" spans="1:8" ht="15.75" customHeight="1" x14ac:dyDescent="0.35"/>
    <row r="25" spans="1:8" ht="15.75" customHeight="1" x14ac:dyDescent="0.35">
      <c r="A25" s="6" t="s">
        <v>30</v>
      </c>
      <c r="B25" s="6" t="s">
        <v>31</v>
      </c>
    </row>
    <row r="26" spans="1:8" ht="15.75" customHeight="1" x14ac:dyDescent="0.35">
      <c r="A26" s="5" t="s">
        <v>133</v>
      </c>
      <c r="B26" s="7">
        <v>0.56000000000000005</v>
      </c>
      <c r="D26" s="6"/>
      <c r="E26" s="6"/>
      <c r="F26" s="6"/>
      <c r="G26" s="6"/>
      <c r="H26" s="6"/>
    </row>
    <row r="27" spans="1:8" ht="15.75" customHeight="1" x14ac:dyDescent="0.35">
      <c r="A27" s="5" t="s">
        <v>38</v>
      </c>
      <c r="B27" s="7">
        <v>0.2</v>
      </c>
    </row>
    <row r="28" spans="1:8" ht="15.75" customHeight="1" x14ac:dyDescent="0.35">
      <c r="A28" s="5" t="s">
        <v>134</v>
      </c>
      <c r="B28" s="8">
        <v>6.1199999999999997E-2</v>
      </c>
    </row>
    <row r="29" spans="1:8" ht="15.75" customHeight="1" x14ac:dyDescent="0.35">
      <c r="A29" s="5" t="s">
        <v>135</v>
      </c>
      <c r="B29" s="8">
        <v>4.2500000000000003E-2</v>
      </c>
    </row>
    <row r="30" spans="1:8" ht="15.75" customHeight="1" x14ac:dyDescent="0.35">
      <c r="A30" s="5" t="s">
        <v>136</v>
      </c>
      <c r="B30" s="8">
        <v>3.7199999999999997E-2</v>
      </c>
    </row>
    <row r="31" spans="1:8" ht="15.75" customHeight="1" x14ac:dyDescent="0.35">
      <c r="A31" s="5" t="s">
        <v>81</v>
      </c>
      <c r="B31" s="8">
        <v>3.3300000000000003E-2</v>
      </c>
    </row>
    <row r="32" spans="1:8" ht="15.75" customHeight="1" x14ac:dyDescent="0.35">
      <c r="A32" s="5" t="s">
        <v>137</v>
      </c>
      <c r="B32" s="8">
        <v>2.9499999999999998E-2</v>
      </c>
    </row>
    <row r="33" spans="1:5" ht="15.75" customHeight="1" x14ac:dyDescent="0.35">
      <c r="A33" s="5" t="s">
        <v>138</v>
      </c>
      <c r="B33" s="8">
        <v>2.0199999999999999E-2</v>
      </c>
    </row>
    <row r="34" spans="1:5" ht="15.75" customHeight="1" x14ac:dyDescent="0.35">
      <c r="A34" s="5" t="s">
        <v>139</v>
      </c>
      <c r="B34" s="8">
        <v>1.6E-2</v>
      </c>
    </row>
    <row r="35" spans="1:5" ht="15.75" customHeight="1" x14ac:dyDescent="0.35"/>
    <row r="36" spans="1:5" ht="15.75" customHeight="1" x14ac:dyDescent="0.35">
      <c r="A36" s="5" t="s">
        <v>46</v>
      </c>
    </row>
    <row r="37" spans="1:5" ht="15.75" customHeight="1" x14ac:dyDescent="0.35"/>
    <row r="38" spans="1:5" ht="15.75" customHeight="1" x14ac:dyDescent="0.35">
      <c r="A38" s="1" t="s">
        <v>47</v>
      </c>
      <c r="B38" s="1" t="s">
        <v>48</v>
      </c>
      <c r="C38" s="1" t="s">
        <v>49</v>
      </c>
      <c r="D38" s="1" t="s">
        <v>50</v>
      </c>
      <c r="E38" s="1"/>
    </row>
    <row r="39" spans="1:5" ht="15.75" customHeight="1" x14ac:dyDescent="0.35">
      <c r="A39" s="12" t="s">
        <v>140</v>
      </c>
      <c r="B39" s="24" t="s">
        <v>141</v>
      </c>
      <c r="C39" s="23" t="s">
        <v>95</v>
      </c>
      <c r="D39" s="23" t="s">
        <v>142</v>
      </c>
      <c r="E39" s="1"/>
    </row>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0"/>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229</v>
      </c>
    </row>
    <row r="2" spans="1:5" ht="87" x14ac:dyDescent="0.35">
      <c r="A2" s="16" t="s">
        <v>143</v>
      </c>
    </row>
    <row r="4" spans="1:5" ht="14.5" x14ac:dyDescent="0.35">
      <c r="A4" s="15" t="s">
        <v>9</v>
      </c>
      <c r="B4" s="19">
        <v>55050600</v>
      </c>
      <c r="C4" s="19">
        <v>55050600</v>
      </c>
      <c r="D4" s="19">
        <v>55050600</v>
      </c>
      <c r="E4" s="19">
        <v>55050600</v>
      </c>
    </row>
    <row r="6" spans="1:5" ht="14.5" x14ac:dyDescent="0.35">
      <c r="A6" s="6" t="s">
        <v>14</v>
      </c>
      <c r="B6" s="6">
        <v>2021</v>
      </c>
      <c r="C6" s="6">
        <v>2022</v>
      </c>
      <c r="D6" s="6">
        <v>2023</v>
      </c>
      <c r="E6" s="6">
        <v>2024</v>
      </c>
    </row>
    <row r="7" spans="1:5" ht="14.5" x14ac:dyDescent="0.35">
      <c r="A7" s="5" t="s">
        <v>15</v>
      </c>
      <c r="B7" s="5">
        <v>25443</v>
      </c>
      <c r="C7" s="5">
        <v>26676</v>
      </c>
      <c r="D7" s="5">
        <v>27208</v>
      </c>
      <c r="E7" s="5">
        <v>29979</v>
      </c>
    </row>
    <row r="8" spans="1:5" ht="14.5" x14ac:dyDescent="0.35">
      <c r="A8" s="5" t="s">
        <v>16</v>
      </c>
      <c r="B8" s="5">
        <v>753306</v>
      </c>
      <c r="C8" s="5">
        <v>900236</v>
      </c>
      <c r="D8" s="5">
        <v>1045020</v>
      </c>
      <c r="E8" s="5">
        <v>972571</v>
      </c>
    </row>
    <row r="9" spans="1:5" ht="14.5" x14ac:dyDescent="0.35">
      <c r="A9" s="5" t="s">
        <v>3</v>
      </c>
      <c r="B9" s="18">
        <v>1087751</v>
      </c>
      <c r="C9" s="18">
        <v>1269609</v>
      </c>
      <c r="D9" s="18">
        <v>1450927</v>
      </c>
      <c r="E9" s="18">
        <v>1412512</v>
      </c>
    </row>
    <row r="10" spans="1:5" ht="14.5" x14ac:dyDescent="0.35">
      <c r="A10" s="5" t="s">
        <v>17</v>
      </c>
      <c r="B10" s="18">
        <v>144829</v>
      </c>
      <c r="C10" s="18">
        <v>163719</v>
      </c>
      <c r="D10" s="18">
        <v>178208</v>
      </c>
      <c r="E10" s="18">
        <v>199352</v>
      </c>
    </row>
    <row r="11" spans="1:5" ht="14.5" x14ac:dyDescent="0.35">
      <c r="A11" s="5" t="s">
        <v>18</v>
      </c>
      <c r="B11" s="18">
        <v>1489910</v>
      </c>
      <c r="C11" s="18">
        <v>1689946</v>
      </c>
      <c r="D11" s="18">
        <v>1711770</v>
      </c>
      <c r="E11" s="18">
        <v>1777254</v>
      </c>
    </row>
    <row r="12" spans="1:5" ht="14.5" x14ac:dyDescent="0.35">
      <c r="A12" s="5" t="s">
        <v>2</v>
      </c>
      <c r="B12" s="18">
        <v>1677707</v>
      </c>
      <c r="C12" s="18">
        <v>1901235</v>
      </c>
      <c r="D12" s="18">
        <v>1953299</v>
      </c>
      <c r="E12" s="18">
        <v>2050681</v>
      </c>
    </row>
    <row r="13" spans="1:5" ht="14.5" x14ac:dyDescent="0.35">
      <c r="A13" s="5" t="s">
        <v>19</v>
      </c>
      <c r="B13" s="18">
        <v>90545</v>
      </c>
      <c r="C13" s="18">
        <v>99155</v>
      </c>
      <c r="D13" s="18">
        <v>110189</v>
      </c>
      <c r="E13" s="18">
        <v>122316</v>
      </c>
    </row>
    <row r="14" spans="1:5" ht="14.5" x14ac:dyDescent="0.35">
      <c r="A14" s="5" t="s">
        <v>20</v>
      </c>
      <c r="B14" s="18">
        <v>35925</v>
      </c>
      <c r="C14" s="18">
        <v>48368</v>
      </c>
      <c r="D14" s="18">
        <v>54381</v>
      </c>
      <c r="E14" s="18">
        <v>64404</v>
      </c>
    </row>
    <row r="15" spans="1:5" ht="14.5" x14ac:dyDescent="0.35">
      <c r="A15" s="5" t="s">
        <v>21</v>
      </c>
      <c r="B15" s="18">
        <v>47899</v>
      </c>
      <c r="C15" s="18">
        <v>54150</v>
      </c>
      <c r="D15" s="18">
        <v>60314</v>
      </c>
      <c r="E15" s="18">
        <v>67339</v>
      </c>
    </row>
    <row r="16" spans="1:5" ht="14.5" x14ac:dyDescent="0.35">
      <c r="A16" s="5" t="s">
        <v>22</v>
      </c>
      <c r="B16" s="5">
        <v>35620</v>
      </c>
      <c r="C16" s="5">
        <v>49541</v>
      </c>
      <c r="D16" s="5">
        <v>54321</v>
      </c>
      <c r="E16" s="5">
        <v>64432</v>
      </c>
    </row>
    <row r="17" spans="1:8" ht="14.5" x14ac:dyDescent="0.35">
      <c r="A17" s="5" t="s">
        <v>23</v>
      </c>
      <c r="B17" s="5">
        <v>34304</v>
      </c>
      <c r="C17" s="5">
        <v>44598</v>
      </c>
      <c r="D17" s="5">
        <v>48071</v>
      </c>
      <c r="E17" s="5">
        <v>57477</v>
      </c>
    </row>
    <row r="18" spans="1:8" ht="14.5" x14ac:dyDescent="0.35">
      <c r="A18" s="5" t="s">
        <v>24</v>
      </c>
      <c r="B18" s="5">
        <v>7.68</v>
      </c>
      <c r="C18" s="5">
        <v>6.1</v>
      </c>
      <c r="D18" s="5">
        <v>7.79</v>
      </c>
      <c r="E18" s="5">
        <v>8.42</v>
      </c>
    </row>
    <row r="19" spans="1:8" ht="14.5" x14ac:dyDescent="0.35">
      <c r="A19" s="5" t="s">
        <v>26</v>
      </c>
      <c r="B19" s="5">
        <v>420.3</v>
      </c>
      <c r="C19" s="5">
        <v>549</v>
      </c>
      <c r="D19" s="5">
        <v>594</v>
      </c>
      <c r="E19" s="5">
        <v>707.52</v>
      </c>
    </row>
    <row r="20" spans="1:8" ht="14.5" x14ac:dyDescent="0.35">
      <c r="A20" s="5" t="s">
        <v>27</v>
      </c>
      <c r="B20" s="18">
        <v>11974</v>
      </c>
      <c r="C20" s="18">
        <v>5782</v>
      </c>
      <c r="D20" s="18">
        <v>5933</v>
      </c>
      <c r="E20" s="18">
        <v>2935</v>
      </c>
    </row>
    <row r="21" spans="1:8" ht="15.75" customHeight="1" x14ac:dyDescent="0.35">
      <c r="A21" s="5" t="s">
        <v>28</v>
      </c>
      <c r="B21" s="5">
        <v>4785</v>
      </c>
      <c r="C21" s="5">
        <v>4945</v>
      </c>
      <c r="D21" s="5">
        <v>6800</v>
      </c>
      <c r="E21" s="5">
        <v>8795</v>
      </c>
    </row>
    <row r="22" spans="1:8" ht="15.75" customHeight="1" x14ac:dyDescent="0.35">
      <c r="A22" s="26" t="s">
        <v>6</v>
      </c>
    </row>
    <row r="23" spans="1:8" ht="15.75" customHeight="1" x14ac:dyDescent="0.35">
      <c r="A23" s="5" t="s">
        <v>98</v>
      </c>
      <c r="B23" s="29">
        <f>467*B4/1000000</f>
        <v>25708.6302</v>
      </c>
      <c r="C23" s="5">
        <v>33581</v>
      </c>
      <c r="D23" s="36">
        <f>660*B4/1000000</f>
        <v>36333.396000000001</v>
      </c>
      <c r="E23" s="5">
        <v>44261</v>
      </c>
    </row>
    <row r="24" spans="1:8" ht="15.75" customHeight="1" x14ac:dyDescent="0.35"/>
    <row r="25" spans="1:8" ht="15.75" customHeight="1" x14ac:dyDescent="0.35">
      <c r="A25" s="6" t="s">
        <v>30</v>
      </c>
      <c r="B25" s="6" t="s">
        <v>31</v>
      </c>
      <c r="D25" s="6"/>
      <c r="E25" s="6"/>
      <c r="F25" s="6"/>
      <c r="G25" s="6"/>
      <c r="H25" s="6"/>
    </row>
    <row r="26" spans="1:8" ht="15.75" customHeight="1" x14ac:dyDescent="0.35">
      <c r="A26" s="5" t="s">
        <v>144</v>
      </c>
      <c r="B26" s="8">
        <v>0.74990000000000001</v>
      </c>
    </row>
    <row r="27" spans="1:8" ht="15.75" customHeight="1" x14ac:dyDescent="0.35">
      <c r="A27" s="5" t="s">
        <v>38</v>
      </c>
      <c r="B27" s="8">
        <v>0.1081</v>
      </c>
    </row>
    <row r="28" spans="1:8" ht="15.75" customHeight="1" x14ac:dyDescent="0.35">
      <c r="A28" s="5" t="s">
        <v>145</v>
      </c>
      <c r="B28" s="8">
        <v>4.4999999999999998E-2</v>
      </c>
    </row>
    <row r="29" spans="1:8" ht="15.75" customHeight="1" x14ac:dyDescent="0.35">
      <c r="A29" s="5" t="s">
        <v>146</v>
      </c>
      <c r="B29" s="8">
        <v>3.2000000000000001E-2</v>
      </c>
    </row>
    <row r="30" spans="1:8" ht="15.75" customHeight="1" x14ac:dyDescent="0.35">
      <c r="A30" s="5" t="s">
        <v>147</v>
      </c>
      <c r="B30" s="8">
        <v>1.54E-2</v>
      </c>
    </row>
    <row r="31" spans="1:8" ht="15.75" customHeight="1" x14ac:dyDescent="0.35">
      <c r="A31" s="5" t="s">
        <v>148</v>
      </c>
      <c r="B31" s="8">
        <v>1.18E-2</v>
      </c>
    </row>
    <row r="32" spans="1:8" ht="15.75" customHeight="1" x14ac:dyDescent="0.35">
      <c r="A32" s="5" t="s">
        <v>62</v>
      </c>
      <c r="B32" s="8">
        <v>1.06E-2</v>
      </c>
    </row>
    <row r="33" spans="1:5" ht="15.75" customHeight="1" x14ac:dyDescent="0.35">
      <c r="A33" s="5" t="s">
        <v>149</v>
      </c>
      <c r="B33" s="8">
        <v>7.1999999999999998E-3</v>
      </c>
    </row>
    <row r="34" spans="1:5" ht="15.75" customHeight="1" x14ac:dyDescent="0.35">
      <c r="A34" s="5" t="s">
        <v>150</v>
      </c>
      <c r="B34" s="8">
        <v>7.1999999999999998E-3</v>
      </c>
    </row>
    <row r="35" spans="1:5" ht="15.75" customHeight="1" x14ac:dyDescent="0.35">
      <c r="A35" s="5" t="s">
        <v>151</v>
      </c>
      <c r="B35" s="8">
        <v>6.4000000000000003E-3</v>
      </c>
    </row>
    <row r="36" spans="1:5" ht="15.75" customHeight="1" x14ac:dyDescent="0.35">
      <c r="A36" s="5" t="s">
        <v>152</v>
      </c>
      <c r="B36" s="8">
        <v>6.4000000000000003E-3</v>
      </c>
    </row>
    <row r="37" spans="1:5" ht="15.75" customHeight="1" x14ac:dyDescent="0.35"/>
    <row r="38" spans="1:5" ht="15.75" customHeight="1" x14ac:dyDescent="0.35">
      <c r="A38" s="5" t="s">
        <v>46</v>
      </c>
    </row>
    <row r="39" spans="1:5" ht="15.75" customHeight="1" x14ac:dyDescent="0.35"/>
    <row r="40" spans="1:5" ht="15.75" customHeight="1" x14ac:dyDescent="0.35">
      <c r="A40" s="1" t="s">
        <v>47</v>
      </c>
      <c r="B40" s="1" t="s">
        <v>48</v>
      </c>
      <c r="C40" s="1" t="s">
        <v>49</v>
      </c>
      <c r="D40" s="1" t="s">
        <v>50</v>
      </c>
      <c r="E40" s="1"/>
    </row>
    <row r="41" spans="1:5" ht="15.75" customHeight="1" x14ac:dyDescent="0.35">
      <c r="A41" s="12" t="s">
        <v>153</v>
      </c>
      <c r="B41" s="24" t="s">
        <v>154</v>
      </c>
      <c r="C41" s="23" t="s">
        <v>155</v>
      </c>
      <c r="D41" s="23" t="s">
        <v>156</v>
      </c>
      <c r="E41" s="1"/>
    </row>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0"/>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6" width="13.81640625" customWidth="1"/>
    <col min="7" max="8" width="8.7265625" customWidth="1"/>
    <col min="9" max="9" width="12.81640625" customWidth="1"/>
    <col min="10" max="25" width="8.7265625" customWidth="1"/>
  </cols>
  <sheetData>
    <row r="1" spans="1:5" ht="14.5" x14ac:dyDescent="0.35">
      <c r="A1" s="15" t="s">
        <v>7</v>
      </c>
      <c r="B1" s="46" t="s">
        <v>230</v>
      </c>
    </row>
    <row r="2" spans="1:5" ht="72.5" x14ac:dyDescent="0.35">
      <c r="A2" s="16" t="s">
        <v>157</v>
      </c>
    </row>
    <row r="4" spans="1:5" ht="14.5" x14ac:dyDescent="0.35">
      <c r="A4" s="15" t="s">
        <v>9</v>
      </c>
      <c r="B4" s="19">
        <v>24734572</v>
      </c>
      <c r="C4" s="19">
        <v>24734572</v>
      </c>
      <c r="D4" s="19">
        <v>24734572</v>
      </c>
      <c r="E4" s="19">
        <v>24734572</v>
      </c>
    </row>
    <row r="6" spans="1:5" ht="14.5" x14ac:dyDescent="0.35">
      <c r="A6" s="6" t="s">
        <v>14</v>
      </c>
      <c r="B6" s="6">
        <v>2021</v>
      </c>
      <c r="C6" s="6">
        <v>2022</v>
      </c>
      <c r="D6" s="6">
        <v>2023</v>
      </c>
      <c r="E6" s="6">
        <v>2024</v>
      </c>
    </row>
    <row r="7" spans="1:5" ht="14.5" x14ac:dyDescent="0.35">
      <c r="A7" s="5" t="s">
        <v>15</v>
      </c>
      <c r="B7" s="5">
        <v>47314</v>
      </c>
      <c r="C7" s="5">
        <v>84128</v>
      </c>
      <c r="D7" s="5">
        <v>91269</v>
      </c>
      <c r="E7" s="5">
        <v>113511</v>
      </c>
    </row>
    <row r="8" spans="1:5" ht="14.5" x14ac:dyDescent="0.35">
      <c r="A8" s="5" t="s">
        <v>16</v>
      </c>
      <c r="B8" s="5">
        <v>1032456</v>
      </c>
      <c r="C8" s="5">
        <v>1141361</v>
      </c>
      <c r="D8" s="5">
        <v>1307350</v>
      </c>
      <c r="E8" s="5">
        <v>1536122</v>
      </c>
    </row>
    <row r="9" spans="1:5" ht="14.5" x14ac:dyDescent="0.35">
      <c r="A9" s="5" t="s">
        <v>3</v>
      </c>
      <c r="B9" s="18">
        <v>1128500</v>
      </c>
      <c r="C9" s="18">
        <v>1220362</v>
      </c>
      <c r="D9" s="18">
        <v>1415894</v>
      </c>
      <c r="E9" s="18">
        <v>1700893</v>
      </c>
    </row>
    <row r="10" spans="1:5" ht="14.5" x14ac:dyDescent="0.35">
      <c r="A10" s="5" t="s">
        <v>17</v>
      </c>
      <c r="B10" s="18">
        <v>132524</v>
      </c>
      <c r="C10" s="18">
        <v>164905</v>
      </c>
      <c r="D10" s="18">
        <v>189719</v>
      </c>
      <c r="E10" s="18">
        <v>215330</v>
      </c>
    </row>
    <row r="11" spans="1:5" ht="14.5" x14ac:dyDescent="0.35">
      <c r="A11" s="5" t="s">
        <v>18</v>
      </c>
      <c r="B11" s="18">
        <v>1470776</v>
      </c>
      <c r="C11" s="18">
        <v>1672395</v>
      </c>
      <c r="D11" s="18">
        <v>1783434</v>
      </c>
      <c r="E11" s="18">
        <v>2216403</v>
      </c>
    </row>
    <row r="12" spans="1:5" ht="14.5" x14ac:dyDescent="0.35">
      <c r="A12" s="5" t="s">
        <v>2</v>
      </c>
      <c r="B12" s="18">
        <v>1644547</v>
      </c>
      <c r="C12" s="18">
        <v>1885056</v>
      </c>
      <c r="D12" s="18">
        <v>2037064</v>
      </c>
      <c r="E12" s="18">
        <v>2514388</v>
      </c>
    </row>
    <row r="13" spans="1:5" ht="14.5" x14ac:dyDescent="0.35">
      <c r="A13" s="5" t="s">
        <v>19</v>
      </c>
      <c r="B13" s="18">
        <v>76622</v>
      </c>
      <c r="C13" s="18">
        <v>80105</v>
      </c>
      <c r="D13" s="18">
        <v>91002</v>
      </c>
      <c r="E13" s="18">
        <v>97819</v>
      </c>
    </row>
    <row r="14" spans="1:5" ht="14.5" x14ac:dyDescent="0.35">
      <c r="A14" s="5" t="s">
        <v>20</v>
      </c>
      <c r="B14" s="18">
        <v>23151</v>
      </c>
      <c r="C14" s="18">
        <v>25354</v>
      </c>
      <c r="D14" s="18">
        <v>34546</v>
      </c>
      <c r="E14" s="18">
        <v>39937</v>
      </c>
    </row>
    <row r="15" spans="1:5" ht="14.5" x14ac:dyDescent="0.35">
      <c r="A15" s="5" t="s">
        <v>21</v>
      </c>
      <c r="B15" s="18">
        <v>29199</v>
      </c>
      <c r="C15" s="18">
        <v>29506</v>
      </c>
      <c r="D15" s="18">
        <v>37922</v>
      </c>
      <c r="E15" s="18">
        <v>39400</v>
      </c>
    </row>
    <row r="16" spans="1:5" ht="14.5" x14ac:dyDescent="0.35">
      <c r="A16" s="5" t="s">
        <v>22</v>
      </c>
      <c r="B16" s="5">
        <v>26175</v>
      </c>
      <c r="C16" s="5">
        <v>34540</v>
      </c>
      <c r="D16" s="5">
        <v>36312</v>
      </c>
      <c r="E16" s="5">
        <v>40219</v>
      </c>
    </row>
    <row r="17" spans="1:8" ht="14.5" x14ac:dyDescent="0.35">
      <c r="A17" s="5" t="s">
        <v>23</v>
      </c>
      <c r="B17" s="5">
        <v>23713</v>
      </c>
      <c r="C17" s="5">
        <v>32382</v>
      </c>
      <c r="D17" s="5">
        <v>34813</v>
      </c>
      <c r="E17" s="5">
        <v>38112</v>
      </c>
    </row>
    <row r="18" spans="1:8" ht="14.5" x14ac:dyDescent="0.35">
      <c r="A18" s="5" t="s">
        <v>24</v>
      </c>
      <c r="B18" s="5">
        <v>6.45</v>
      </c>
      <c r="C18" s="5">
        <v>4.5599999999999996</v>
      </c>
      <c r="D18" s="5">
        <v>4.26</v>
      </c>
      <c r="E18" s="5">
        <v>4.5999999999999996</v>
      </c>
    </row>
    <row r="19" spans="1:8" ht="14.5" x14ac:dyDescent="0.35">
      <c r="A19" s="5" t="s">
        <v>26</v>
      </c>
      <c r="B19" s="29">
        <f>(B23*1000000*0.9)/B4</f>
        <v>0</v>
      </c>
      <c r="C19" s="5">
        <v>363.6</v>
      </c>
      <c r="D19" s="5">
        <v>454.83</v>
      </c>
      <c r="E19" s="5">
        <v>668.15</v>
      </c>
    </row>
    <row r="20" spans="1:8" ht="14.5" x14ac:dyDescent="0.35">
      <c r="A20" s="5" t="s">
        <v>27</v>
      </c>
      <c r="B20" s="18">
        <v>6048</v>
      </c>
      <c r="C20" s="18">
        <v>4152</v>
      </c>
      <c r="D20" s="18">
        <v>3376</v>
      </c>
      <c r="E20" s="18">
        <v>537</v>
      </c>
    </row>
    <row r="21" spans="1:8" ht="15.75" customHeight="1" x14ac:dyDescent="0.35">
      <c r="A21" s="5" t="s">
        <v>28</v>
      </c>
      <c r="B21" s="5">
        <v>6185</v>
      </c>
      <c r="C21" s="5">
        <v>5975</v>
      </c>
      <c r="D21" s="5">
        <v>6000</v>
      </c>
      <c r="E21" s="5">
        <v>7090</v>
      </c>
    </row>
    <row r="22" spans="1:8" ht="15.75" customHeight="1" x14ac:dyDescent="0.35">
      <c r="A22" s="26" t="s">
        <v>6</v>
      </c>
      <c r="C22" s="19"/>
      <c r="D22" s="19"/>
      <c r="E22" s="19"/>
    </row>
    <row r="23" spans="1:8" ht="15.75" customHeight="1" x14ac:dyDescent="0.35">
      <c r="A23" s="5" t="s">
        <v>158</v>
      </c>
      <c r="B23" s="35">
        <v>0</v>
      </c>
      <c r="C23" s="35">
        <v>10000</v>
      </c>
      <c r="D23" s="35">
        <v>12500</v>
      </c>
      <c r="E23" s="35">
        <v>18780</v>
      </c>
    </row>
    <row r="24" spans="1:8" ht="15.75" customHeight="1" x14ac:dyDescent="0.35"/>
    <row r="25" spans="1:8" ht="15.75" customHeight="1" x14ac:dyDescent="0.35">
      <c r="A25" s="6" t="s">
        <v>30</v>
      </c>
      <c r="B25" s="6" t="s">
        <v>31</v>
      </c>
      <c r="D25" s="6"/>
      <c r="E25" s="6"/>
      <c r="F25" s="6"/>
      <c r="G25" s="6"/>
      <c r="H25" s="6"/>
    </row>
    <row r="26" spans="1:8" ht="15.75" customHeight="1" x14ac:dyDescent="0.35">
      <c r="A26" s="5" t="s">
        <v>159</v>
      </c>
      <c r="B26" s="8">
        <v>0.30649999999999999</v>
      </c>
    </row>
    <row r="27" spans="1:8" ht="15.75" customHeight="1" x14ac:dyDescent="0.35">
      <c r="A27" s="5" t="s">
        <v>160</v>
      </c>
      <c r="B27" s="8">
        <v>0.27600000000000002</v>
      </c>
    </row>
    <row r="28" spans="1:8" ht="15.75" customHeight="1" x14ac:dyDescent="0.35">
      <c r="A28" s="5" t="s">
        <v>38</v>
      </c>
      <c r="B28" s="7">
        <v>0.2</v>
      </c>
      <c r="G28" s="9"/>
    </row>
    <row r="29" spans="1:8" ht="15.75" customHeight="1" x14ac:dyDescent="0.35">
      <c r="A29" s="5" t="s">
        <v>145</v>
      </c>
      <c r="B29" s="8">
        <v>0.16750000000000001</v>
      </c>
    </row>
    <row r="30" spans="1:8" ht="15.75" customHeight="1" x14ac:dyDescent="0.35"/>
    <row r="31" spans="1:8" ht="15.75" customHeight="1" x14ac:dyDescent="0.35">
      <c r="A31" s="5" t="s">
        <v>46</v>
      </c>
    </row>
    <row r="32" spans="1:8" ht="15.75" customHeight="1" x14ac:dyDescent="0.35"/>
    <row r="33" spans="1:5" ht="15.75" customHeight="1" x14ac:dyDescent="0.35">
      <c r="A33" s="1" t="s">
        <v>47</v>
      </c>
      <c r="B33" s="1" t="s">
        <v>48</v>
      </c>
      <c r="C33" s="1" t="s">
        <v>49</v>
      </c>
      <c r="D33" s="1" t="s">
        <v>50</v>
      </c>
      <c r="E33" s="1"/>
    </row>
    <row r="34" spans="1:5" ht="15.75" customHeight="1" x14ac:dyDescent="0.35">
      <c r="A34" s="12" t="s">
        <v>161</v>
      </c>
      <c r="B34" s="24" t="s">
        <v>162</v>
      </c>
      <c r="C34" s="23" t="s">
        <v>163</v>
      </c>
      <c r="D34" s="23" t="s">
        <v>164</v>
      </c>
      <c r="E34" s="1"/>
    </row>
    <row r="35" spans="1:5" ht="15.75" customHeight="1" x14ac:dyDescent="0.35"/>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5"/>
  <sheetViews>
    <sheetView workbookViewId="0">
      <selection activeCell="B1" sqref="B1"/>
    </sheetView>
  </sheetViews>
  <sheetFormatPr baseColWidth="10" defaultColWidth="14.453125" defaultRowHeight="15" customHeight="1" x14ac:dyDescent="0.35"/>
  <cols>
    <col min="1" max="1" width="45" customWidth="1"/>
    <col min="2" max="5" width="18" customWidth="1"/>
    <col min="6" max="25" width="8.7265625" customWidth="1"/>
  </cols>
  <sheetData>
    <row r="1" spans="1:5" ht="14.5" x14ac:dyDescent="0.35">
      <c r="A1" s="15" t="s">
        <v>7</v>
      </c>
      <c r="B1" s="46" t="s">
        <v>231</v>
      </c>
    </row>
    <row r="2" spans="1:5" ht="101.5" x14ac:dyDescent="0.35">
      <c r="A2" s="16" t="s">
        <v>165</v>
      </c>
    </row>
    <row r="4" spans="1:5" ht="14.5" x14ac:dyDescent="0.35">
      <c r="A4" s="15" t="s">
        <v>9</v>
      </c>
      <c r="B4" s="19">
        <v>16666670</v>
      </c>
      <c r="C4" s="19">
        <v>16666670</v>
      </c>
      <c r="D4" s="19">
        <v>16666670</v>
      </c>
      <c r="E4" s="19">
        <v>16666670</v>
      </c>
    </row>
    <row r="6" spans="1:5" ht="14.5" x14ac:dyDescent="0.35">
      <c r="A6" s="6" t="s">
        <v>14</v>
      </c>
      <c r="B6" s="6">
        <v>2021</v>
      </c>
      <c r="C6" s="6">
        <v>2022</v>
      </c>
      <c r="D6" s="6">
        <v>2023</v>
      </c>
      <c r="E6" s="6">
        <v>2024</v>
      </c>
    </row>
    <row r="7" spans="1:5" ht="14.5" x14ac:dyDescent="0.35">
      <c r="A7" s="5" t="s">
        <v>15</v>
      </c>
      <c r="B7" s="5">
        <v>19345</v>
      </c>
      <c r="C7" s="5">
        <v>20308</v>
      </c>
      <c r="D7" s="5">
        <v>25170</v>
      </c>
      <c r="E7" s="5">
        <v>33751</v>
      </c>
    </row>
    <row r="8" spans="1:5" ht="14.5" x14ac:dyDescent="0.35">
      <c r="A8" s="5" t="s">
        <v>16</v>
      </c>
      <c r="B8" s="5">
        <v>424284</v>
      </c>
      <c r="C8" s="5">
        <v>478323</v>
      </c>
      <c r="D8" s="5">
        <v>489193</v>
      </c>
      <c r="E8" s="5">
        <v>564928</v>
      </c>
    </row>
    <row r="9" spans="1:5" ht="14.5" x14ac:dyDescent="0.35">
      <c r="A9" s="5" t="s">
        <v>3</v>
      </c>
      <c r="B9" s="18">
        <v>737120</v>
      </c>
      <c r="C9" s="18">
        <v>805335</v>
      </c>
      <c r="D9" s="18">
        <v>778277</v>
      </c>
      <c r="E9" s="18">
        <v>819426</v>
      </c>
    </row>
    <row r="10" spans="1:5" ht="14.5" x14ac:dyDescent="0.35">
      <c r="A10" s="5" t="s">
        <v>17</v>
      </c>
      <c r="B10" s="18">
        <v>71522</v>
      </c>
      <c r="C10" s="18">
        <v>57640</v>
      </c>
      <c r="D10" s="18">
        <v>83574</v>
      </c>
      <c r="E10" s="18">
        <v>99783</v>
      </c>
    </row>
    <row r="11" spans="1:5" ht="14.5" x14ac:dyDescent="0.35">
      <c r="A11" s="5" t="s">
        <v>18</v>
      </c>
      <c r="B11" s="18">
        <v>761195</v>
      </c>
      <c r="C11" s="18">
        <v>832969</v>
      </c>
      <c r="D11" s="18">
        <v>813105</v>
      </c>
      <c r="E11" s="18">
        <v>882458</v>
      </c>
    </row>
    <row r="12" spans="1:5" ht="14.5" x14ac:dyDescent="0.35">
      <c r="A12" s="5" t="s">
        <v>2</v>
      </c>
      <c r="B12" s="18">
        <v>847724</v>
      </c>
      <c r="C12" s="18">
        <v>926252</v>
      </c>
      <c r="D12" s="18">
        <v>920563</v>
      </c>
      <c r="E12" s="18">
        <v>1015578</v>
      </c>
    </row>
    <row r="13" spans="1:5" ht="14.5" x14ac:dyDescent="0.35">
      <c r="A13" s="5" t="s">
        <v>19</v>
      </c>
      <c r="B13" s="18">
        <v>44167</v>
      </c>
      <c r="C13" s="18">
        <v>47275</v>
      </c>
      <c r="D13" s="18">
        <v>55506</v>
      </c>
      <c r="E13" s="18">
        <v>68063</v>
      </c>
    </row>
    <row r="14" spans="1:5" ht="14.5" x14ac:dyDescent="0.35">
      <c r="A14" s="5" t="s">
        <v>20</v>
      </c>
      <c r="B14" s="18">
        <v>11036</v>
      </c>
      <c r="C14" s="18">
        <v>14004</v>
      </c>
      <c r="D14" s="18">
        <v>15540</v>
      </c>
      <c r="E14" s="18">
        <v>28768</v>
      </c>
    </row>
    <row r="15" spans="1:5" ht="14.5" x14ac:dyDescent="0.35">
      <c r="A15" s="5" t="s">
        <v>21</v>
      </c>
      <c r="B15" s="18">
        <v>13363</v>
      </c>
      <c r="C15" s="18">
        <v>14809</v>
      </c>
      <c r="D15" s="18">
        <v>16814</v>
      </c>
      <c r="E15" s="18">
        <v>30077</v>
      </c>
    </row>
    <row r="16" spans="1:5" ht="14.5" x14ac:dyDescent="0.35">
      <c r="A16" s="5" t="s">
        <v>22</v>
      </c>
      <c r="B16" s="5">
        <v>11036</v>
      </c>
      <c r="C16" s="5">
        <v>14173</v>
      </c>
      <c r="D16" s="5">
        <v>18113</v>
      </c>
      <c r="E16" s="5">
        <v>29539</v>
      </c>
    </row>
    <row r="17" spans="1:9" ht="14.5" x14ac:dyDescent="0.35">
      <c r="A17" s="5" t="s">
        <v>23</v>
      </c>
      <c r="B17" s="5">
        <v>9603</v>
      </c>
      <c r="C17" s="5">
        <v>12391</v>
      </c>
      <c r="D17" s="5">
        <v>16694</v>
      </c>
      <c r="E17" s="5">
        <v>26226</v>
      </c>
    </row>
    <row r="18" spans="1:9" ht="14.5" x14ac:dyDescent="0.35">
      <c r="A18" s="5" t="s">
        <v>24</v>
      </c>
      <c r="B18" s="5">
        <v>12.84</v>
      </c>
      <c r="C18" s="5">
        <v>9.2100000000000009</v>
      </c>
      <c r="D18" s="5">
        <v>7.48</v>
      </c>
      <c r="E18" s="5">
        <v>4.71</v>
      </c>
    </row>
    <row r="19" spans="1:9" ht="14.5" x14ac:dyDescent="0.35">
      <c r="A19" s="5" t="s">
        <v>26</v>
      </c>
      <c r="B19" s="5">
        <v>518</v>
      </c>
      <c r="C19" s="5">
        <v>401.4</v>
      </c>
      <c r="D19" s="5">
        <v>540.9</v>
      </c>
      <c r="E19" s="5">
        <v>830.72</v>
      </c>
    </row>
    <row r="20" spans="1:9" ht="14.5" x14ac:dyDescent="0.35">
      <c r="A20" s="5" t="s">
        <v>27</v>
      </c>
      <c r="B20" s="18">
        <v>2327</v>
      </c>
      <c r="C20" s="18">
        <v>805</v>
      </c>
      <c r="D20" s="18">
        <v>1274</v>
      </c>
      <c r="E20" s="18">
        <v>1309</v>
      </c>
    </row>
    <row r="21" spans="1:9" ht="15.75" customHeight="1" x14ac:dyDescent="0.35">
      <c r="A21" s="5" t="s">
        <v>28</v>
      </c>
      <c r="B21" s="5">
        <v>7400</v>
      </c>
      <c r="C21" s="5">
        <v>6850</v>
      </c>
      <c r="D21" s="5">
        <v>7490</v>
      </c>
      <c r="E21" s="5">
        <v>14000</v>
      </c>
    </row>
    <row r="22" spans="1:9" ht="15.75" customHeight="1" x14ac:dyDescent="0.35">
      <c r="A22" s="26" t="s">
        <v>166</v>
      </c>
    </row>
    <row r="23" spans="1:9" ht="15.75" customHeight="1" x14ac:dyDescent="0.35">
      <c r="A23" s="5" t="s">
        <v>88</v>
      </c>
      <c r="B23" s="21">
        <v>9600</v>
      </c>
      <c r="C23" s="5">
        <v>10000</v>
      </c>
      <c r="D23" s="5">
        <v>12500</v>
      </c>
      <c r="E23" s="5">
        <v>18780</v>
      </c>
    </row>
    <row r="24" spans="1:9" ht="15.75" customHeight="1" x14ac:dyDescent="0.35">
      <c r="A24" s="37"/>
      <c r="B24" s="37"/>
    </row>
    <row r="25" spans="1:9" ht="15.75" customHeight="1" x14ac:dyDescent="0.35">
      <c r="A25" s="37"/>
      <c r="B25" s="37"/>
      <c r="E25" s="6"/>
      <c r="F25" s="6"/>
      <c r="G25" s="6"/>
      <c r="H25" s="6"/>
      <c r="I25" s="6"/>
    </row>
    <row r="26" spans="1:9" ht="15.75" customHeight="1" x14ac:dyDescent="0.35">
      <c r="A26" s="37"/>
      <c r="B26" s="37"/>
      <c r="D26" s="6"/>
    </row>
    <row r="27" spans="1:9" ht="15.75" customHeight="1" x14ac:dyDescent="0.35">
      <c r="A27" s="37"/>
      <c r="B27" s="37"/>
    </row>
    <row r="28" spans="1:9" ht="15.75" customHeight="1" x14ac:dyDescent="0.35">
      <c r="A28" s="37"/>
      <c r="B28" s="37"/>
    </row>
    <row r="29" spans="1:9" ht="15.75" customHeight="1" x14ac:dyDescent="0.35">
      <c r="A29" s="37"/>
      <c r="B29" s="37"/>
    </row>
    <row r="30" spans="1:9" ht="15.75" customHeight="1" x14ac:dyDescent="0.35">
      <c r="A30" s="6" t="s">
        <v>30</v>
      </c>
      <c r="B30" s="6" t="s">
        <v>31</v>
      </c>
    </row>
    <row r="31" spans="1:9" ht="15.75" customHeight="1" x14ac:dyDescent="0.35">
      <c r="A31" s="5" t="s">
        <v>145</v>
      </c>
      <c r="B31" s="8">
        <v>0.21540000000000001</v>
      </c>
    </row>
    <row r="32" spans="1:9" ht="15.75" customHeight="1" x14ac:dyDescent="0.35">
      <c r="A32" s="5" t="s">
        <v>167</v>
      </c>
      <c r="B32" s="8">
        <v>0.2109</v>
      </c>
    </row>
    <row r="33" spans="1:5" ht="15.75" customHeight="1" x14ac:dyDescent="0.35">
      <c r="A33" s="5" t="s">
        <v>168</v>
      </c>
      <c r="B33" s="8">
        <v>0.19109999999999999</v>
      </c>
    </row>
    <row r="34" spans="1:5" ht="15.75" customHeight="1" x14ac:dyDescent="0.35">
      <c r="A34" s="5" t="s">
        <v>38</v>
      </c>
      <c r="B34" s="8">
        <v>0.1295</v>
      </c>
    </row>
    <row r="35" spans="1:5" ht="15.75" customHeight="1" x14ac:dyDescent="0.35">
      <c r="A35" s="5" t="s">
        <v>169</v>
      </c>
      <c r="B35" s="8">
        <v>0.1265</v>
      </c>
    </row>
    <row r="36" spans="1:5" ht="15.75" customHeight="1" x14ac:dyDescent="0.35">
      <c r="A36" s="5" t="s">
        <v>170</v>
      </c>
      <c r="B36" s="8">
        <v>0.1265</v>
      </c>
    </row>
    <row r="37" spans="1:5" ht="15.75" customHeight="1" x14ac:dyDescent="0.35"/>
    <row r="38" spans="1:5" ht="15.75" customHeight="1" x14ac:dyDescent="0.35">
      <c r="A38" s="5" t="s">
        <v>46</v>
      </c>
    </row>
    <row r="39" spans="1:5" ht="15.75" customHeight="1" x14ac:dyDescent="0.35"/>
    <row r="40" spans="1:5" ht="15.75" customHeight="1" x14ac:dyDescent="0.35">
      <c r="A40" s="1" t="s">
        <v>47</v>
      </c>
      <c r="B40" s="1" t="s">
        <v>48</v>
      </c>
      <c r="C40" s="1" t="s">
        <v>49</v>
      </c>
      <c r="D40" s="1" t="s">
        <v>50</v>
      </c>
      <c r="E40" s="1"/>
    </row>
    <row r="41" spans="1:5" ht="15.75" customHeight="1" x14ac:dyDescent="0.35">
      <c r="A41" s="23" t="s">
        <v>171</v>
      </c>
      <c r="B41" s="24" t="s">
        <v>172</v>
      </c>
      <c r="C41" s="23" t="s">
        <v>173</v>
      </c>
      <c r="D41" s="23" t="s">
        <v>174</v>
      </c>
      <c r="E41" s="1"/>
    </row>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6"/>
  <sheetViews>
    <sheetView workbookViewId="0">
      <selection activeCell="B1" sqref="B1"/>
    </sheetView>
  </sheetViews>
  <sheetFormatPr baseColWidth="10" defaultColWidth="14.453125" defaultRowHeight="15" customHeight="1" x14ac:dyDescent="0.35"/>
  <cols>
    <col min="1" max="1" width="45" customWidth="1"/>
    <col min="2" max="2" width="27.08984375" customWidth="1"/>
    <col min="3" max="5" width="18" customWidth="1"/>
    <col min="6" max="6" width="8.7265625" customWidth="1"/>
    <col min="7" max="7" width="15.54296875" customWidth="1"/>
    <col min="8" max="8" width="12.7265625" customWidth="1"/>
    <col min="9" max="24" width="8.7265625" customWidth="1"/>
  </cols>
  <sheetData>
    <row r="1" spans="1:5" ht="14.5" x14ac:dyDescent="0.35">
      <c r="A1" s="15" t="s">
        <v>7</v>
      </c>
      <c r="B1" s="46" t="s">
        <v>232</v>
      </c>
    </row>
    <row r="2" spans="1:5" ht="101.5" x14ac:dyDescent="0.35">
      <c r="A2" s="16" t="s">
        <v>175</v>
      </c>
    </row>
    <row r="4" spans="1:5" ht="14.5" x14ac:dyDescent="0.35">
      <c r="A4" s="15" t="s">
        <v>9</v>
      </c>
      <c r="B4" s="38">
        <v>18084106722</v>
      </c>
      <c r="C4" s="38">
        <v>18084106722</v>
      </c>
      <c r="D4" s="38">
        <v>18084106722</v>
      </c>
      <c r="E4" s="38">
        <v>18084106722</v>
      </c>
    </row>
    <row r="6" spans="1:5" ht="14.5" x14ac:dyDescent="0.35">
      <c r="A6" s="6" t="s">
        <v>14</v>
      </c>
      <c r="B6" s="6">
        <v>2021</v>
      </c>
      <c r="C6" s="6">
        <v>2022</v>
      </c>
      <c r="D6" s="6">
        <v>2023</v>
      </c>
      <c r="E6" s="6">
        <v>2024</v>
      </c>
    </row>
    <row r="7" spans="1:5" ht="14.5" x14ac:dyDescent="0.35">
      <c r="A7" s="5" t="s">
        <v>1</v>
      </c>
      <c r="B7" s="5">
        <v>453470</v>
      </c>
      <c r="C7" s="5">
        <v>463715</v>
      </c>
      <c r="D7" s="5">
        <v>349259</v>
      </c>
      <c r="E7" s="5">
        <v>355355</v>
      </c>
    </row>
    <row r="8" spans="1:5" ht="14.5" x14ac:dyDescent="0.35">
      <c r="A8" s="5" t="s">
        <v>0</v>
      </c>
      <c r="B8" s="5">
        <v>66115</v>
      </c>
      <c r="C8" s="5">
        <v>51995</v>
      </c>
      <c r="D8" s="5">
        <v>32839</v>
      </c>
      <c r="E8" s="5">
        <v>24973</v>
      </c>
    </row>
    <row r="9" spans="1:5" ht="14.5" x14ac:dyDescent="0.35">
      <c r="A9" s="5" t="s">
        <v>176</v>
      </c>
      <c r="B9" s="18">
        <v>6382</v>
      </c>
      <c r="C9" s="18">
        <v>6102</v>
      </c>
      <c r="D9" s="18">
        <v>6571</v>
      </c>
      <c r="E9" s="18">
        <v>6991</v>
      </c>
    </row>
    <row r="10" spans="1:5" ht="14.5" x14ac:dyDescent="0.35">
      <c r="A10" s="5" t="s">
        <v>15</v>
      </c>
      <c r="B10" s="25">
        <v>525967</v>
      </c>
      <c r="C10" s="25">
        <v>521812</v>
      </c>
      <c r="D10" s="25">
        <v>388669</v>
      </c>
      <c r="E10" s="25">
        <v>387319</v>
      </c>
    </row>
    <row r="11" spans="1:5" ht="14.5" x14ac:dyDescent="0.35">
      <c r="A11" s="5" t="s">
        <v>16</v>
      </c>
      <c r="B11" s="18">
        <v>5553049</v>
      </c>
      <c r="C11" s="18">
        <v>6766766</v>
      </c>
      <c r="D11" s="18">
        <v>6258455</v>
      </c>
      <c r="E11" s="18">
        <v>6255123</v>
      </c>
    </row>
    <row r="12" spans="1:5" ht="14.5" x14ac:dyDescent="0.35">
      <c r="A12" s="5" t="s">
        <v>3</v>
      </c>
      <c r="B12" s="18">
        <v>11311508</v>
      </c>
      <c r="C12" s="18">
        <v>12800148</v>
      </c>
      <c r="D12" s="18">
        <v>11857060</v>
      </c>
      <c r="E12" s="18">
        <v>12895459</v>
      </c>
    </row>
    <row r="13" spans="1:5" ht="14.5" x14ac:dyDescent="0.35">
      <c r="A13" s="5" t="s">
        <v>17</v>
      </c>
      <c r="B13" s="18">
        <v>1232978</v>
      </c>
      <c r="C13" s="18">
        <v>1246610</v>
      </c>
      <c r="D13" s="18">
        <v>1029618</v>
      </c>
      <c r="E13" s="18">
        <v>1133230</v>
      </c>
    </row>
    <row r="14" spans="1:5" ht="14.5" x14ac:dyDescent="0.35">
      <c r="A14" s="5" t="s">
        <v>177</v>
      </c>
      <c r="B14" s="18">
        <v>1210735</v>
      </c>
      <c r="C14" s="18">
        <v>1401207</v>
      </c>
      <c r="D14" s="18">
        <v>1335412</v>
      </c>
      <c r="E14" s="18">
        <v>1363718</v>
      </c>
    </row>
    <row r="15" spans="1:5" ht="14.5" x14ac:dyDescent="0.35">
      <c r="A15" s="5" t="s">
        <v>18</v>
      </c>
      <c r="B15" s="18">
        <v>12522243</v>
      </c>
      <c r="C15" s="18">
        <v>14201355</v>
      </c>
      <c r="D15" s="18">
        <v>13192472</v>
      </c>
      <c r="E15" s="18">
        <v>14259177</v>
      </c>
    </row>
    <row r="16" spans="1:5" ht="14.5" x14ac:dyDescent="0.35">
      <c r="A16" s="5" t="s">
        <v>178</v>
      </c>
      <c r="B16" s="18">
        <v>15786682</v>
      </c>
      <c r="C16" s="18">
        <v>17837510</v>
      </c>
      <c r="D16" s="18">
        <v>16164541</v>
      </c>
      <c r="E16" s="18">
        <v>17650776</v>
      </c>
    </row>
    <row r="17" spans="1:9" ht="14.5" x14ac:dyDescent="0.35">
      <c r="A17" s="5" t="s">
        <v>179</v>
      </c>
      <c r="B17" s="5">
        <v>965422</v>
      </c>
      <c r="C17" s="5">
        <v>1161428</v>
      </c>
      <c r="D17" s="5">
        <v>1251677</v>
      </c>
      <c r="E17" s="5">
        <v>1268402</v>
      </c>
    </row>
    <row r="18" spans="1:9" ht="14.5" x14ac:dyDescent="0.35">
      <c r="A18" s="5" t="s">
        <v>180</v>
      </c>
      <c r="B18" s="5">
        <v>299572</v>
      </c>
      <c r="C18" s="5">
        <v>352609</v>
      </c>
      <c r="D18" s="5">
        <v>368744</v>
      </c>
      <c r="E18" s="5">
        <v>399354</v>
      </c>
    </row>
    <row r="19" spans="1:9" ht="14.5" x14ac:dyDescent="0.35">
      <c r="A19" s="5" t="s">
        <v>181</v>
      </c>
      <c r="B19" s="5">
        <v>416245</v>
      </c>
      <c r="C19" s="5">
        <v>499019</v>
      </c>
      <c r="D19" s="5">
        <v>564604</v>
      </c>
      <c r="E19" s="5">
        <v>595831</v>
      </c>
    </row>
    <row r="20" spans="1:9" ht="14.5" x14ac:dyDescent="0.35">
      <c r="A20" s="5" t="s">
        <v>5</v>
      </c>
      <c r="B20" s="18">
        <v>265036</v>
      </c>
      <c r="C20" s="18">
        <v>336881</v>
      </c>
      <c r="D20" s="18">
        <v>352614</v>
      </c>
      <c r="E20" s="18">
        <v>399399</v>
      </c>
    </row>
    <row r="21" spans="1:9" ht="14.5" x14ac:dyDescent="0.35">
      <c r="A21" s="5" t="s">
        <v>182</v>
      </c>
      <c r="B21" s="18">
        <v>193792</v>
      </c>
      <c r="C21" s="18">
        <v>228750</v>
      </c>
      <c r="D21" s="18">
        <v>241560</v>
      </c>
      <c r="E21" s="18">
        <v>299706</v>
      </c>
    </row>
    <row r="22" spans="1:9" ht="15.75" customHeight="1" x14ac:dyDescent="0.35">
      <c r="A22" s="5" t="s">
        <v>183</v>
      </c>
      <c r="B22" s="39">
        <v>6.02</v>
      </c>
      <c r="C22" s="39">
        <v>1.77</v>
      </c>
      <c r="D22" s="39">
        <v>1.5</v>
      </c>
      <c r="E22" s="39">
        <v>1.2</v>
      </c>
    </row>
    <row r="23" spans="1:9" ht="15.75" customHeight="1" x14ac:dyDescent="0.35">
      <c r="A23" s="5" t="s">
        <v>26</v>
      </c>
      <c r="B23" s="28">
        <v>0.9</v>
      </c>
      <c r="C23" s="28">
        <v>0.6</v>
      </c>
      <c r="D23" s="28"/>
      <c r="E23" s="28"/>
    </row>
    <row r="24" spans="1:9" ht="15.75" customHeight="1" x14ac:dyDescent="0.35">
      <c r="A24" s="5" t="s">
        <v>4</v>
      </c>
      <c r="B24" s="5">
        <v>116945</v>
      </c>
      <c r="C24" s="5">
        <v>146410</v>
      </c>
      <c r="D24" s="5">
        <v>195860</v>
      </c>
      <c r="E24" s="5">
        <v>196477</v>
      </c>
    </row>
    <row r="25" spans="1:9" ht="15.75" customHeight="1" x14ac:dyDescent="0.35">
      <c r="A25" s="5" t="s">
        <v>28</v>
      </c>
      <c r="B25" s="5">
        <v>18</v>
      </c>
      <c r="C25" s="5">
        <v>19</v>
      </c>
      <c r="D25" s="5">
        <v>19</v>
      </c>
      <c r="E25" s="5">
        <v>16</v>
      </c>
    </row>
    <row r="26" spans="1:9" ht="15.75" customHeight="1" x14ac:dyDescent="0.35">
      <c r="A26" s="5" t="s">
        <v>6</v>
      </c>
      <c r="B26" s="5">
        <v>30939</v>
      </c>
      <c r="C26" s="5">
        <v>184333</v>
      </c>
      <c r="D26" s="5">
        <v>57270</v>
      </c>
      <c r="E26" s="5">
        <v>53413</v>
      </c>
    </row>
    <row r="27" spans="1:9" ht="15.75" customHeight="1" x14ac:dyDescent="0.35">
      <c r="A27" s="5" t="s">
        <v>98</v>
      </c>
      <c r="B27" s="36">
        <f t="shared" ref="B27:C27" si="0">B23*$B$4*1.1/1000000</f>
        <v>17903.265654780003</v>
      </c>
      <c r="C27" s="36">
        <f t="shared" si="0"/>
        <v>11935.51043652</v>
      </c>
    </row>
    <row r="28" spans="1:9" ht="15.75" customHeight="1" x14ac:dyDescent="0.35">
      <c r="A28" s="37"/>
      <c r="B28" s="37"/>
    </row>
    <row r="29" spans="1:9" ht="15.75" customHeight="1" x14ac:dyDescent="0.35">
      <c r="A29" s="37"/>
      <c r="B29" s="37"/>
    </row>
    <row r="30" spans="1:9" ht="15.75" customHeight="1" x14ac:dyDescent="0.35">
      <c r="A30" s="37"/>
      <c r="B30" s="37"/>
      <c r="E30" s="6"/>
      <c r="F30" s="6"/>
      <c r="G30" s="6"/>
      <c r="H30" s="6"/>
      <c r="I30" s="6"/>
    </row>
    <row r="31" spans="1:9" ht="15.75" customHeight="1" x14ac:dyDescent="0.35">
      <c r="A31" s="6" t="s">
        <v>30</v>
      </c>
      <c r="B31" s="6" t="s">
        <v>31</v>
      </c>
    </row>
    <row r="32" spans="1:9" ht="15.75" customHeight="1" x14ac:dyDescent="0.35">
      <c r="A32" s="5" t="s">
        <v>184</v>
      </c>
      <c r="B32" s="8">
        <v>0.2122</v>
      </c>
    </row>
    <row r="33" spans="1:5" ht="15.75" customHeight="1" x14ac:dyDescent="0.35">
      <c r="A33" s="5" t="s">
        <v>185</v>
      </c>
      <c r="B33" s="8">
        <v>0.20100000000000001</v>
      </c>
    </row>
    <row r="34" spans="1:5" ht="15.75" customHeight="1" x14ac:dyDescent="0.35">
      <c r="A34" s="5" t="s">
        <v>186</v>
      </c>
      <c r="B34" s="8">
        <v>0.14099999999999999</v>
      </c>
    </row>
    <row r="35" spans="1:5" ht="15.75" customHeight="1" x14ac:dyDescent="0.35">
      <c r="A35" s="5" t="s">
        <v>187</v>
      </c>
      <c r="B35" s="8">
        <v>0.13500000000000001</v>
      </c>
    </row>
    <row r="36" spans="1:5" ht="15.75" customHeight="1" x14ac:dyDescent="0.35">
      <c r="A36" s="5" t="s">
        <v>188</v>
      </c>
      <c r="B36" s="8">
        <v>3.9E-2</v>
      </c>
    </row>
    <row r="37" spans="1:5" ht="15.75" customHeight="1" x14ac:dyDescent="0.35">
      <c r="B37" s="8"/>
    </row>
    <row r="38" spans="1:5" ht="15.75" customHeight="1" x14ac:dyDescent="0.35">
      <c r="A38" s="5" t="s">
        <v>46</v>
      </c>
    </row>
    <row r="39" spans="1:5" ht="15.75" customHeight="1" x14ac:dyDescent="0.35"/>
    <row r="40" spans="1:5" ht="15.75" customHeight="1" x14ac:dyDescent="0.35">
      <c r="A40" s="1" t="s">
        <v>47</v>
      </c>
      <c r="B40" s="1" t="s">
        <v>48</v>
      </c>
      <c r="C40" s="1" t="s">
        <v>49</v>
      </c>
      <c r="D40" s="1" t="s">
        <v>50</v>
      </c>
      <c r="E40" s="1"/>
    </row>
    <row r="41" spans="1:5" ht="15.75" customHeight="1" x14ac:dyDescent="0.35">
      <c r="A41" s="12" t="s">
        <v>189</v>
      </c>
      <c r="B41" s="24" t="s">
        <v>190</v>
      </c>
      <c r="C41" s="23" t="s">
        <v>155</v>
      </c>
      <c r="D41" s="23" t="s">
        <v>191</v>
      </c>
      <c r="E41" s="1"/>
    </row>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7"/>
  <sheetViews>
    <sheetView workbookViewId="0">
      <selection activeCell="B1" sqref="B1"/>
    </sheetView>
  </sheetViews>
  <sheetFormatPr baseColWidth="10" defaultColWidth="14.453125" defaultRowHeight="15" customHeight="1" x14ac:dyDescent="0.35"/>
  <cols>
    <col min="1" max="1" width="45" customWidth="1"/>
    <col min="2" max="2" width="27.08984375" customWidth="1"/>
    <col min="3" max="5" width="18" customWidth="1"/>
    <col min="6" max="6" width="15.54296875" customWidth="1"/>
    <col min="7" max="7" width="12.7265625" customWidth="1"/>
    <col min="8" max="23" width="8.7265625" customWidth="1"/>
  </cols>
  <sheetData>
    <row r="1" spans="1:5" ht="14.5" x14ac:dyDescent="0.35">
      <c r="A1" s="15" t="s">
        <v>7</v>
      </c>
      <c r="B1" s="46" t="s">
        <v>233</v>
      </c>
    </row>
    <row r="2" spans="1:5" ht="72.5" x14ac:dyDescent="0.35">
      <c r="A2" s="16" t="s">
        <v>192</v>
      </c>
    </row>
    <row r="4" spans="1:5" ht="14.5" x14ac:dyDescent="0.35">
      <c r="A4" s="15" t="s">
        <v>9</v>
      </c>
      <c r="B4" s="38">
        <v>69415031</v>
      </c>
      <c r="C4" s="38">
        <v>69415031</v>
      </c>
      <c r="D4" s="38">
        <v>69415031</v>
      </c>
      <c r="E4" s="38">
        <v>69415031</v>
      </c>
    </row>
    <row r="6" spans="1:5" ht="14.5" x14ac:dyDescent="0.35">
      <c r="A6" s="6" t="s">
        <v>14</v>
      </c>
      <c r="B6" s="6">
        <v>2021</v>
      </c>
      <c r="C6" s="6">
        <v>2022</v>
      </c>
      <c r="D6" s="6">
        <v>2023</v>
      </c>
      <c r="E6" s="6">
        <v>2024</v>
      </c>
    </row>
    <row r="7" spans="1:5" ht="14.5" x14ac:dyDescent="0.35">
      <c r="A7" s="5" t="s">
        <v>1</v>
      </c>
      <c r="B7" s="5">
        <v>65163</v>
      </c>
      <c r="C7" s="5">
        <v>78396</v>
      </c>
      <c r="D7" s="5">
        <v>84911</v>
      </c>
      <c r="E7" s="5">
        <v>81260</v>
      </c>
    </row>
    <row r="8" spans="1:5" ht="14.5" x14ac:dyDescent="0.35">
      <c r="A8" s="5" t="s">
        <v>0</v>
      </c>
      <c r="B8" s="5">
        <v>9227</v>
      </c>
      <c r="C8" s="5">
        <v>8566</v>
      </c>
      <c r="D8" s="5">
        <v>9074</v>
      </c>
      <c r="E8" s="5">
        <v>8383</v>
      </c>
    </row>
    <row r="9" spans="1:5" ht="14.5" x14ac:dyDescent="0.35">
      <c r="A9" s="5" t="s">
        <v>176</v>
      </c>
      <c r="B9" s="18">
        <v>53656</v>
      </c>
      <c r="C9" s="18">
        <v>61831</v>
      </c>
      <c r="D9" s="18">
        <v>79523</v>
      </c>
      <c r="E9" s="18">
        <v>92147</v>
      </c>
    </row>
    <row r="10" spans="1:5" ht="14.5" x14ac:dyDescent="0.35">
      <c r="A10" s="5" t="s">
        <v>193</v>
      </c>
      <c r="B10" s="18">
        <f t="shared" ref="B10:E10" si="0">SUM(B7:B9)</f>
        <v>128046</v>
      </c>
      <c r="C10" s="18">
        <f t="shared" si="0"/>
        <v>148793</v>
      </c>
      <c r="D10" s="18">
        <f t="shared" si="0"/>
        <v>173508</v>
      </c>
      <c r="E10" s="18">
        <f t="shared" si="0"/>
        <v>181790</v>
      </c>
    </row>
    <row r="11" spans="1:5" ht="14.5" x14ac:dyDescent="0.35">
      <c r="A11" s="5" t="s">
        <v>16</v>
      </c>
      <c r="B11" s="18">
        <v>1946894</v>
      </c>
      <c r="C11" s="18">
        <v>2282738</v>
      </c>
      <c r="D11" s="18">
        <v>2038505</v>
      </c>
      <c r="E11" s="18">
        <v>1659654</v>
      </c>
    </row>
    <row r="12" spans="1:5" ht="14.5" x14ac:dyDescent="0.35">
      <c r="A12" s="5" t="s">
        <v>3</v>
      </c>
      <c r="B12" s="18">
        <v>2583896</v>
      </c>
      <c r="C12" s="18">
        <v>3176961</v>
      </c>
      <c r="D12" s="18">
        <v>3089493</v>
      </c>
      <c r="E12" s="18">
        <v>2933724</v>
      </c>
    </row>
    <row r="13" spans="1:5" ht="14.5" x14ac:dyDescent="0.35">
      <c r="A13" s="5" t="s">
        <v>194</v>
      </c>
      <c r="B13" s="18">
        <v>118895</v>
      </c>
      <c r="C13" s="18">
        <v>115056</v>
      </c>
      <c r="D13" s="18">
        <v>94386</v>
      </c>
      <c r="E13" s="18">
        <v>54806</v>
      </c>
    </row>
    <row r="14" spans="1:5" ht="14.5" x14ac:dyDescent="0.35">
      <c r="A14" s="5" t="s">
        <v>195</v>
      </c>
      <c r="B14" s="18">
        <v>174538</v>
      </c>
      <c r="C14" s="18">
        <v>218583</v>
      </c>
      <c r="D14" s="18">
        <v>71810</v>
      </c>
      <c r="E14" s="18">
        <v>58564</v>
      </c>
    </row>
    <row r="15" spans="1:5" ht="14.5" x14ac:dyDescent="0.35">
      <c r="A15" s="5" t="s">
        <v>196</v>
      </c>
      <c r="B15" s="18">
        <v>2758434</v>
      </c>
      <c r="C15" s="18">
        <v>3395544</v>
      </c>
      <c r="D15" s="18">
        <v>3161303</v>
      </c>
      <c r="E15" s="18">
        <v>2992288</v>
      </c>
    </row>
    <row r="16" spans="1:5" ht="14.5" x14ac:dyDescent="0.35">
      <c r="A16" s="5" t="s">
        <v>2</v>
      </c>
      <c r="B16" s="18">
        <v>4058135</v>
      </c>
      <c r="C16" s="18">
        <v>4732757</v>
      </c>
      <c r="D16" s="18">
        <v>4236478</v>
      </c>
      <c r="E16" s="18">
        <v>3961395</v>
      </c>
    </row>
    <row r="17" spans="1:8" ht="14.5" x14ac:dyDescent="0.35">
      <c r="A17" s="5" t="s">
        <v>179</v>
      </c>
      <c r="B17" s="18">
        <v>187315</v>
      </c>
      <c r="C17" s="18">
        <v>222431</v>
      </c>
      <c r="D17" s="18">
        <v>215280</v>
      </c>
      <c r="E17" s="18">
        <v>195436</v>
      </c>
    </row>
    <row r="18" spans="1:8" ht="14.5" x14ac:dyDescent="0.35">
      <c r="A18" s="5" t="s">
        <v>180</v>
      </c>
      <c r="B18" s="5">
        <v>27131</v>
      </c>
      <c r="C18" s="5">
        <v>24928</v>
      </c>
      <c r="D18" s="5">
        <v>-32255</v>
      </c>
      <c r="E18" s="5">
        <v>-44764</v>
      </c>
    </row>
    <row r="19" spans="1:8" ht="14.5" x14ac:dyDescent="0.35">
      <c r="A19" s="5" t="s">
        <v>181</v>
      </c>
      <c r="B19" s="5">
        <v>69691</v>
      </c>
      <c r="C19" s="5">
        <v>84718</v>
      </c>
      <c r="D19" s="5">
        <v>63976</v>
      </c>
      <c r="E19" s="5">
        <v>24292</v>
      </c>
    </row>
    <row r="20" spans="1:8" ht="14.5" x14ac:dyDescent="0.35">
      <c r="A20" s="5" t="s">
        <v>5</v>
      </c>
      <c r="B20" s="5">
        <v>27138</v>
      </c>
      <c r="C20" s="5">
        <v>25433</v>
      </c>
      <c r="D20" s="5">
        <v>-31235</v>
      </c>
      <c r="E20" s="5">
        <v>-44608</v>
      </c>
    </row>
    <row r="21" spans="1:8" ht="14.5" x14ac:dyDescent="0.35">
      <c r="A21" s="5" t="s">
        <v>23</v>
      </c>
      <c r="B21" s="18">
        <v>19798</v>
      </c>
      <c r="C21" s="18">
        <v>19199</v>
      </c>
      <c r="D21" s="18">
        <v>-18186</v>
      </c>
      <c r="E21" s="18">
        <v>-44363</v>
      </c>
    </row>
    <row r="22" spans="1:8" ht="14.5" x14ac:dyDescent="0.35">
      <c r="A22" s="5" t="s">
        <v>24</v>
      </c>
      <c r="B22" s="39">
        <v>30.81</v>
      </c>
      <c r="C22" s="39">
        <v>13.76</v>
      </c>
      <c r="D22" s="39">
        <v>9.5500000000000007</v>
      </c>
      <c r="E22" s="39"/>
    </row>
    <row r="23" spans="1:8" ht="15.75" customHeight="1" x14ac:dyDescent="0.35">
      <c r="A23" s="5" t="s">
        <v>26</v>
      </c>
      <c r="B23" s="29"/>
      <c r="C23" s="29"/>
      <c r="D23" s="29"/>
      <c r="E23" s="29"/>
    </row>
    <row r="24" spans="1:8" ht="15.75" customHeight="1" x14ac:dyDescent="0.35">
      <c r="A24" s="5" t="s">
        <v>4</v>
      </c>
      <c r="B24" s="5">
        <v>42560</v>
      </c>
      <c r="C24" s="5">
        <v>59790</v>
      </c>
      <c r="D24" s="5">
        <v>96231</v>
      </c>
      <c r="E24" s="5">
        <v>69056</v>
      </c>
    </row>
    <row r="25" spans="1:8" ht="15.75" customHeight="1" x14ac:dyDescent="0.35">
      <c r="A25" s="5" t="s">
        <v>28</v>
      </c>
      <c r="B25" s="5">
        <v>4190</v>
      </c>
      <c r="C25" s="5">
        <v>3925</v>
      </c>
      <c r="D25" s="5">
        <v>2640</v>
      </c>
      <c r="E25" s="5">
        <v>1920</v>
      </c>
    </row>
    <row r="26" spans="1:8" ht="15.75" customHeight="1" x14ac:dyDescent="0.35">
      <c r="A26" s="5" t="s">
        <v>197</v>
      </c>
      <c r="B26" s="5">
        <v>23393</v>
      </c>
      <c r="C26" s="5">
        <v>26073</v>
      </c>
      <c r="D26" s="5">
        <v>17234</v>
      </c>
      <c r="E26" s="5">
        <v>8649</v>
      </c>
    </row>
    <row r="27" spans="1:8" ht="15.75" customHeight="1" x14ac:dyDescent="0.35">
      <c r="A27" s="5" t="s">
        <v>88</v>
      </c>
    </row>
    <row r="28" spans="1:8" ht="15.75" customHeight="1" x14ac:dyDescent="0.35"/>
    <row r="29" spans="1:8" ht="15.75" customHeight="1" x14ac:dyDescent="0.35">
      <c r="A29" s="37"/>
      <c r="B29" s="37"/>
      <c r="D29" s="6"/>
      <c r="E29" s="6"/>
      <c r="F29" s="6"/>
      <c r="G29" s="6"/>
      <c r="H29" s="6"/>
    </row>
    <row r="30" spans="1:8" ht="15.75" customHeight="1" x14ac:dyDescent="0.35">
      <c r="A30" s="37"/>
      <c r="B30" s="37"/>
    </row>
    <row r="31" spans="1:8" ht="15.75" customHeight="1" x14ac:dyDescent="0.35">
      <c r="A31" s="37"/>
      <c r="B31" s="37"/>
    </row>
    <row r="32" spans="1:8" ht="15.75" customHeight="1" x14ac:dyDescent="0.35">
      <c r="A32" s="6" t="s">
        <v>30</v>
      </c>
      <c r="B32" s="6" t="s">
        <v>31</v>
      </c>
    </row>
    <row r="33" spans="1:5" ht="15.75" customHeight="1" x14ac:dyDescent="0.35">
      <c r="A33" s="5" t="s">
        <v>198</v>
      </c>
      <c r="B33" s="8">
        <v>0.50009999999999999</v>
      </c>
    </row>
    <row r="34" spans="1:5" ht="15.75" customHeight="1" x14ac:dyDescent="0.35">
      <c r="A34" s="5" t="s">
        <v>199</v>
      </c>
      <c r="B34" s="7">
        <v>0.2</v>
      </c>
    </row>
    <row r="35" spans="1:5" ht="15.75" customHeight="1" x14ac:dyDescent="0.35">
      <c r="A35" s="5" t="s">
        <v>59</v>
      </c>
      <c r="B35" s="8">
        <v>0.185</v>
      </c>
    </row>
    <row r="36" spans="1:5" ht="15.75" customHeight="1" x14ac:dyDescent="0.35">
      <c r="A36" s="5" t="s">
        <v>34</v>
      </c>
      <c r="B36" s="8">
        <v>7.4300000000000005E-2</v>
      </c>
    </row>
    <row r="37" spans="1:5" ht="15.75" customHeight="1" x14ac:dyDescent="0.35">
      <c r="A37" s="5" t="s">
        <v>200</v>
      </c>
      <c r="B37" s="8">
        <v>4.0599999999999997E-2</v>
      </c>
    </row>
    <row r="38" spans="1:5" ht="15.75" customHeight="1" x14ac:dyDescent="0.35">
      <c r="B38" s="8"/>
    </row>
    <row r="39" spans="1:5" ht="15.75" customHeight="1" x14ac:dyDescent="0.35">
      <c r="A39" s="5" t="s">
        <v>46</v>
      </c>
    </row>
    <row r="40" spans="1:5" ht="15.75" customHeight="1" x14ac:dyDescent="0.35"/>
    <row r="41" spans="1:5" ht="15.75" customHeight="1" x14ac:dyDescent="0.35">
      <c r="A41" s="1" t="s">
        <v>47</v>
      </c>
      <c r="B41" s="1" t="s">
        <v>48</v>
      </c>
      <c r="C41" s="1" t="s">
        <v>49</v>
      </c>
      <c r="D41" s="1" t="s">
        <v>50</v>
      </c>
      <c r="E41" s="1"/>
    </row>
    <row r="42" spans="1:5" ht="15.75" customHeight="1" x14ac:dyDescent="0.35">
      <c r="A42" s="12" t="s">
        <v>201</v>
      </c>
      <c r="B42" s="24" t="s">
        <v>202</v>
      </c>
      <c r="C42" s="23" t="s">
        <v>203</v>
      </c>
      <c r="D42" s="23" t="s">
        <v>204</v>
      </c>
      <c r="E42" s="1"/>
    </row>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57"/>
  <sheetViews>
    <sheetView tabSelected="1" workbookViewId="0">
      <selection activeCell="B1" sqref="B1"/>
    </sheetView>
  </sheetViews>
  <sheetFormatPr baseColWidth="10" defaultColWidth="14.453125" defaultRowHeight="15" customHeight="1" x14ac:dyDescent="0.35"/>
  <cols>
    <col min="1" max="1" width="45" customWidth="1"/>
    <col min="2" max="2" width="27.08984375" customWidth="1"/>
    <col min="3" max="5" width="18" customWidth="1"/>
    <col min="6" max="6" width="8.7265625" customWidth="1"/>
    <col min="7" max="7" width="15.54296875" customWidth="1"/>
    <col min="8" max="8" width="12.7265625" customWidth="1"/>
    <col min="9" max="24" width="8.7265625" customWidth="1"/>
  </cols>
  <sheetData>
    <row r="1" spans="1:9" ht="14.5" x14ac:dyDescent="0.35">
      <c r="A1" s="15" t="s">
        <v>7</v>
      </c>
      <c r="B1" s="46" t="s">
        <v>234</v>
      </c>
    </row>
    <row r="2" spans="1:9" ht="101.5" x14ac:dyDescent="0.35">
      <c r="A2" s="16" t="s">
        <v>205</v>
      </c>
    </row>
    <row r="4" spans="1:9" ht="14.5" x14ac:dyDescent="0.35">
      <c r="A4" s="15" t="s">
        <v>9</v>
      </c>
    </row>
    <row r="5" spans="1:9" ht="14.5" x14ac:dyDescent="0.35">
      <c r="D5" s="38"/>
      <c r="E5" s="38">
        <v>57759800</v>
      </c>
    </row>
    <row r="6" spans="1:9" ht="14.5" x14ac:dyDescent="0.35">
      <c r="A6" s="6" t="s">
        <v>14</v>
      </c>
      <c r="B6" s="6">
        <v>2024</v>
      </c>
      <c r="C6" s="6">
        <v>2022</v>
      </c>
      <c r="D6" s="6">
        <v>2023</v>
      </c>
      <c r="E6" s="3">
        <v>2024</v>
      </c>
      <c r="G6" s="6"/>
      <c r="H6" s="6"/>
      <c r="I6" s="6"/>
    </row>
    <row r="7" spans="1:9" ht="14.5" x14ac:dyDescent="0.35">
      <c r="A7" s="5" t="s">
        <v>1</v>
      </c>
      <c r="C7" s="40"/>
      <c r="D7" s="5">
        <v>12900</v>
      </c>
      <c r="E7" s="5">
        <v>13865</v>
      </c>
      <c r="I7" s="40"/>
    </row>
    <row r="8" spans="1:9" ht="14.5" x14ac:dyDescent="0.35">
      <c r="A8" s="5" t="s">
        <v>0</v>
      </c>
      <c r="C8" s="40"/>
      <c r="D8" s="5">
        <v>1523</v>
      </c>
      <c r="E8" s="5">
        <v>2394</v>
      </c>
      <c r="I8" s="40"/>
    </row>
    <row r="9" spans="1:9" ht="14.5" x14ac:dyDescent="0.35">
      <c r="A9" s="5" t="s">
        <v>193</v>
      </c>
      <c r="C9" s="40"/>
      <c r="D9" s="18">
        <f t="shared" ref="D9:E9" si="0">SUM(D7:D8)</f>
        <v>14423</v>
      </c>
      <c r="E9" s="18">
        <f t="shared" si="0"/>
        <v>16259</v>
      </c>
      <c r="I9" s="40"/>
    </row>
    <row r="10" spans="1:9" ht="14.5" x14ac:dyDescent="0.35">
      <c r="A10" s="5" t="s">
        <v>206</v>
      </c>
      <c r="C10" s="40"/>
      <c r="D10" s="18">
        <v>688120</v>
      </c>
      <c r="E10" s="5">
        <v>856095</v>
      </c>
      <c r="I10" s="40"/>
    </row>
    <row r="11" spans="1:9" ht="14.5" x14ac:dyDescent="0.35">
      <c r="A11" s="5" t="s">
        <v>3</v>
      </c>
      <c r="C11" s="40"/>
      <c r="D11" s="18">
        <v>875409</v>
      </c>
      <c r="E11" s="5">
        <v>926089</v>
      </c>
      <c r="I11" s="40"/>
    </row>
    <row r="12" spans="1:9" ht="14.5" x14ac:dyDescent="0.35">
      <c r="A12" s="5" t="s">
        <v>194</v>
      </c>
      <c r="C12" s="40"/>
      <c r="D12" s="18">
        <v>95569</v>
      </c>
      <c r="E12" s="5">
        <v>125910</v>
      </c>
      <c r="I12" s="40"/>
    </row>
    <row r="13" spans="1:9" ht="15.75" customHeight="1" x14ac:dyDescent="0.35">
      <c r="A13" s="5" t="s">
        <v>195</v>
      </c>
      <c r="C13" s="39"/>
      <c r="D13" s="39">
        <v>453151</v>
      </c>
      <c r="E13" s="39">
        <v>445243</v>
      </c>
      <c r="H13" s="41"/>
    </row>
    <row r="14" spans="1:9" ht="15.75" customHeight="1" x14ac:dyDescent="0.35">
      <c r="A14" s="5" t="s">
        <v>207</v>
      </c>
      <c r="D14" s="42">
        <f t="shared" ref="D14:E14" si="1">D13+D11</f>
        <v>1328560</v>
      </c>
      <c r="E14" s="42">
        <f t="shared" si="1"/>
        <v>1371332</v>
      </c>
    </row>
    <row r="15" spans="1:9" ht="15.75" customHeight="1" x14ac:dyDescent="0.35">
      <c r="A15" s="5" t="s">
        <v>2</v>
      </c>
      <c r="D15" s="5">
        <v>1340710</v>
      </c>
      <c r="E15" s="5">
        <v>1520447</v>
      </c>
    </row>
    <row r="16" spans="1:9" ht="15.75" customHeight="1" x14ac:dyDescent="0.35">
      <c r="A16" s="5" t="s">
        <v>179</v>
      </c>
      <c r="D16" s="5">
        <v>39196</v>
      </c>
      <c r="E16" s="5">
        <v>45207</v>
      </c>
    </row>
    <row r="17" spans="1:9" ht="15.75" customHeight="1" x14ac:dyDescent="0.35">
      <c r="A17" s="5" t="s">
        <v>180</v>
      </c>
      <c r="E17" s="5">
        <v>32660</v>
      </c>
      <c r="I17" s="40"/>
    </row>
    <row r="18" spans="1:9" ht="15.75" customHeight="1" x14ac:dyDescent="0.35">
      <c r="A18" s="5" t="s">
        <v>181</v>
      </c>
      <c r="D18" s="5">
        <v>27438</v>
      </c>
      <c r="E18" s="5">
        <v>30250</v>
      </c>
      <c r="I18" s="40"/>
    </row>
    <row r="19" spans="1:9" ht="15.75" customHeight="1" x14ac:dyDescent="0.35">
      <c r="A19" s="5" t="s">
        <v>5</v>
      </c>
      <c r="D19" s="5">
        <v>28025</v>
      </c>
      <c r="E19" s="5">
        <v>32739</v>
      </c>
    </row>
    <row r="20" spans="1:9" ht="15.75" customHeight="1" x14ac:dyDescent="0.35">
      <c r="A20" s="5" t="s">
        <v>23</v>
      </c>
      <c r="D20" s="5">
        <v>27270</v>
      </c>
      <c r="E20" s="5">
        <v>30341</v>
      </c>
    </row>
    <row r="21" spans="1:9" ht="15.75" customHeight="1" x14ac:dyDescent="0.35">
      <c r="A21" s="5" t="s">
        <v>24</v>
      </c>
      <c r="E21" s="5">
        <v>13.98</v>
      </c>
    </row>
    <row r="22" spans="1:9" ht="15.75" customHeight="1" x14ac:dyDescent="0.35">
      <c r="A22" s="5" t="s">
        <v>208</v>
      </c>
      <c r="E22" s="29">
        <v>254.5</v>
      </c>
    </row>
    <row r="23" spans="1:9" ht="15.75" customHeight="1" x14ac:dyDescent="0.35">
      <c r="A23" s="5" t="s">
        <v>4</v>
      </c>
      <c r="D23" s="5">
        <v>586</v>
      </c>
      <c r="E23" s="5">
        <v>2411</v>
      </c>
    </row>
    <row r="24" spans="1:9" ht="15.75" customHeight="1" x14ac:dyDescent="0.35">
      <c r="A24" s="5" t="s">
        <v>209</v>
      </c>
      <c r="E24" s="5">
        <v>14000</v>
      </c>
    </row>
    <row r="25" spans="1:9" ht="15.75" customHeight="1" x14ac:dyDescent="0.35">
      <c r="A25" s="5" t="s">
        <v>210</v>
      </c>
      <c r="E25" s="29"/>
    </row>
    <row r="26" spans="1:9" ht="15.75" customHeight="1" x14ac:dyDescent="0.35">
      <c r="A26" s="5" t="s">
        <v>88</v>
      </c>
      <c r="E26" s="5">
        <v>21552</v>
      </c>
    </row>
    <row r="27" spans="1:9" ht="15.75" customHeight="1" x14ac:dyDescent="0.35">
      <c r="B27" s="8"/>
      <c r="H27" s="9"/>
    </row>
    <row r="28" spans="1:9" ht="15.75" customHeight="1" x14ac:dyDescent="0.35">
      <c r="A28" s="6" t="s">
        <v>30</v>
      </c>
      <c r="B28" s="6" t="s">
        <v>211</v>
      </c>
    </row>
    <row r="29" spans="1:9" ht="15.75" customHeight="1" x14ac:dyDescent="0.35">
      <c r="A29" s="5" t="s">
        <v>212</v>
      </c>
      <c r="B29" s="7">
        <v>0.33</v>
      </c>
    </row>
    <row r="30" spans="1:9" ht="15.75" customHeight="1" x14ac:dyDescent="0.35">
      <c r="A30" s="5" t="s">
        <v>213</v>
      </c>
      <c r="B30" s="7">
        <v>0.32</v>
      </c>
    </row>
    <row r="31" spans="1:9" ht="15.75" customHeight="1" x14ac:dyDescent="0.35">
      <c r="A31" s="5" t="s">
        <v>214</v>
      </c>
      <c r="B31" s="8">
        <v>0.18260000000000001</v>
      </c>
    </row>
    <row r="32" spans="1:9" ht="15.75" customHeight="1" x14ac:dyDescent="0.35">
      <c r="A32" s="5" t="s">
        <v>215</v>
      </c>
      <c r="B32" s="8">
        <v>3.4000000000000002E-2</v>
      </c>
    </row>
    <row r="33" spans="1:5" ht="15.75" customHeight="1" x14ac:dyDescent="0.35"/>
    <row r="34" spans="1:5" ht="15.75" customHeight="1" x14ac:dyDescent="0.35">
      <c r="A34" s="5" t="s">
        <v>46</v>
      </c>
    </row>
    <row r="35" spans="1:5" ht="15.75" customHeight="1" x14ac:dyDescent="0.35"/>
    <row r="36" spans="1:5" ht="15.75" customHeight="1" x14ac:dyDescent="0.35">
      <c r="A36" s="1" t="s">
        <v>47</v>
      </c>
      <c r="B36" s="1" t="s">
        <v>48</v>
      </c>
      <c r="C36" s="1" t="s">
        <v>49</v>
      </c>
      <c r="D36" s="1" t="s">
        <v>50</v>
      </c>
      <c r="E36" s="1"/>
    </row>
    <row r="37" spans="1:5" ht="15.75" customHeight="1" x14ac:dyDescent="0.35">
      <c r="A37" s="23" t="s">
        <v>216</v>
      </c>
      <c r="B37" s="24" t="s">
        <v>217</v>
      </c>
      <c r="C37" s="23" t="s">
        <v>173</v>
      </c>
      <c r="D37" s="23" t="s">
        <v>218</v>
      </c>
      <c r="E37" s="1"/>
    </row>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SAFCA</vt:lpstr>
      <vt:lpstr>BOA CI</vt:lpstr>
      <vt:lpstr>BOA MALI</vt:lpstr>
      <vt:lpstr>BOA BENIN</vt:lpstr>
      <vt:lpstr>BOA SENEGAL</vt:lpstr>
      <vt:lpstr>BOA NIGER</vt:lpstr>
      <vt:lpstr>BOA BF</vt:lpstr>
      <vt:lpstr>SIB CI</vt:lpstr>
      <vt:lpstr>SGCI</vt:lpstr>
      <vt:lpstr>CORIS BANK BF</vt:lpstr>
      <vt:lpstr>ECOBANK CI</vt:lpstr>
      <vt:lpstr>NSIA BANQUE</vt:lpstr>
      <vt:lpstr>BICI CI</vt:lpstr>
      <vt:lpstr>ETI</vt:lpstr>
      <vt:lpstr>Oragroup</vt:lpstr>
      <vt:lpstr>Banque Internationale du Commer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Franck</cp:lastModifiedBy>
  <dcterms:created xsi:type="dcterms:W3CDTF">2025-10-24T11:07:16Z</dcterms:created>
  <dcterms:modified xsi:type="dcterms:W3CDTF">2025-11-22T11:58:18Z</dcterms:modified>
</cp:coreProperties>
</file>